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739cd375de4b6b7/Desktop/ClaudeCode/ExecutiveAssistant/projects/ma-lakshmi-stores/finance/"/>
    </mc:Choice>
  </mc:AlternateContent>
  <xr:revisionPtr revIDLastSave="0" documentId="11_65D1A2B85AA9893CA2D31156789AFD3355034194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Dashboard" sheetId="2" r:id="rId2"/>
    <sheet name="Inputs" sheetId="3" r:id="rId3"/>
    <sheet name="Monthly OTB" sheetId="4" r:id="rId4"/>
    <sheet name="Sales Log" sheetId="5" r:id="rId5"/>
    <sheet name="Stock Ag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4" l="1"/>
  <c r="O1005" i="6"/>
  <c r="N1005" i="6"/>
  <c r="L1005" i="6"/>
  <c r="M1005" i="6" s="1"/>
  <c r="K1005" i="6"/>
  <c r="J1005" i="6"/>
  <c r="I1005" i="6"/>
  <c r="O1004" i="6"/>
  <c r="N1004" i="6"/>
  <c r="L1004" i="6"/>
  <c r="M1004" i="6" s="1"/>
  <c r="K1004" i="6"/>
  <c r="J1004" i="6"/>
  <c r="I1004" i="6"/>
  <c r="O1003" i="6"/>
  <c r="N1003" i="6"/>
  <c r="L1003" i="6"/>
  <c r="M1003" i="6" s="1"/>
  <c r="K1003" i="6"/>
  <c r="J1003" i="6"/>
  <c r="I1003" i="6"/>
  <c r="O1002" i="6"/>
  <c r="N1002" i="6"/>
  <c r="L1002" i="6"/>
  <c r="M1002" i="6" s="1"/>
  <c r="K1002" i="6"/>
  <c r="J1002" i="6"/>
  <c r="I1002" i="6"/>
  <c r="O1001" i="6"/>
  <c r="N1001" i="6"/>
  <c r="L1001" i="6"/>
  <c r="M1001" i="6" s="1"/>
  <c r="K1001" i="6"/>
  <c r="J1001" i="6"/>
  <c r="I1001" i="6"/>
  <c r="O1000" i="6"/>
  <c r="N1000" i="6"/>
  <c r="L1000" i="6"/>
  <c r="M1000" i="6" s="1"/>
  <c r="K1000" i="6"/>
  <c r="J1000" i="6"/>
  <c r="I1000" i="6"/>
  <c r="O999" i="6"/>
  <c r="N999" i="6"/>
  <c r="L999" i="6"/>
  <c r="M999" i="6" s="1"/>
  <c r="K999" i="6"/>
  <c r="J999" i="6"/>
  <c r="I999" i="6"/>
  <c r="O998" i="6"/>
  <c r="N998" i="6"/>
  <c r="L998" i="6"/>
  <c r="M998" i="6" s="1"/>
  <c r="K998" i="6"/>
  <c r="J998" i="6"/>
  <c r="I998" i="6"/>
  <c r="O997" i="6"/>
  <c r="N997" i="6"/>
  <c r="L997" i="6"/>
  <c r="M997" i="6" s="1"/>
  <c r="K997" i="6"/>
  <c r="J997" i="6"/>
  <c r="I997" i="6"/>
  <c r="O996" i="6"/>
  <c r="N996" i="6"/>
  <c r="L996" i="6"/>
  <c r="M996" i="6" s="1"/>
  <c r="K996" i="6"/>
  <c r="J996" i="6"/>
  <c r="I996" i="6"/>
  <c r="O995" i="6"/>
  <c r="N995" i="6"/>
  <c r="L995" i="6"/>
  <c r="M995" i="6" s="1"/>
  <c r="K995" i="6"/>
  <c r="J995" i="6"/>
  <c r="I995" i="6"/>
  <c r="O994" i="6"/>
  <c r="N994" i="6"/>
  <c r="L994" i="6"/>
  <c r="M994" i="6" s="1"/>
  <c r="K994" i="6"/>
  <c r="J994" i="6"/>
  <c r="I994" i="6"/>
  <c r="O993" i="6"/>
  <c r="N993" i="6"/>
  <c r="L993" i="6"/>
  <c r="M993" i="6" s="1"/>
  <c r="K993" i="6"/>
  <c r="J993" i="6"/>
  <c r="I993" i="6"/>
  <c r="O992" i="6"/>
  <c r="N992" i="6"/>
  <c r="L992" i="6"/>
  <c r="M992" i="6" s="1"/>
  <c r="K992" i="6"/>
  <c r="J992" i="6"/>
  <c r="I992" i="6"/>
  <c r="O991" i="6"/>
  <c r="N991" i="6"/>
  <c r="L991" i="6"/>
  <c r="M991" i="6" s="1"/>
  <c r="K991" i="6"/>
  <c r="J991" i="6"/>
  <c r="I991" i="6"/>
  <c r="O990" i="6"/>
  <c r="N990" i="6"/>
  <c r="L990" i="6"/>
  <c r="M990" i="6" s="1"/>
  <c r="K990" i="6"/>
  <c r="J990" i="6"/>
  <c r="I990" i="6"/>
  <c r="O989" i="6"/>
  <c r="N989" i="6"/>
  <c r="L989" i="6"/>
  <c r="M989" i="6" s="1"/>
  <c r="K989" i="6"/>
  <c r="J989" i="6"/>
  <c r="I989" i="6"/>
  <c r="O988" i="6"/>
  <c r="N988" i="6"/>
  <c r="L988" i="6"/>
  <c r="M988" i="6" s="1"/>
  <c r="K988" i="6"/>
  <c r="J988" i="6"/>
  <c r="I988" i="6"/>
  <c r="O987" i="6"/>
  <c r="N987" i="6"/>
  <c r="L987" i="6"/>
  <c r="M987" i="6" s="1"/>
  <c r="K987" i="6"/>
  <c r="J987" i="6"/>
  <c r="I987" i="6"/>
  <c r="O986" i="6"/>
  <c r="N986" i="6"/>
  <c r="L986" i="6"/>
  <c r="M986" i="6" s="1"/>
  <c r="K986" i="6"/>
  <c r="J986" i="6"/>
  <c r="I986" i="6"/>
  <c r="O985" i="6"/>
  <c r="N985" i="6"/>
  <c r="L985" i="6"/>
  <c r="M985" i="6" s="1"/>
  <c r="K985" i="6"/>
  <c r="J985" i="6"/>
  <c r="I985" i="6"/>
  <c r="O984" i="6"/>
  <c r="N984" i="6"/>
  <c r="L984" i="6"/>
  <c r="M984" i="6" s="1"/>
  <c r="K984" i="6"/>
  <c r="J984" i="6"/>
  <c r="I984" i="6"/>
  <c r="O983" i="6"/>
  <c r="N983" i="6"/>
  <c r="L983" i="6"/>
  <c r="M983" i="6" s="1"/>
  <c r="K983" i="6"/>
  <c r="J983" i="6"/>
  <c r="I983" i="6"/>
  <c r="O982" i="6"/>
  <c r="N982" i="6"/>
  <c r="L982" i="6"/>
  <c r="M982" i="6" s="1"/>
  <c r="K982" i="6"/>
  <c r="J982" i="6"/>
  <c r="I982" i="6"/>
  <c r="O981" i="6"/>
  <c r="N981" i="6"/>
  <c r="L981" i="6"/>
  <c r="M981" i="6" s="1"/>
  <c r="K981" i="6"/>
  <c r="J981" i="6"/>
  <c r="I981" i="6"/>
  <c r="O980" i="6"/>
  <c r="N980" i="6"/>
  <c r="L980" i="6"/>
  <c r="M980" i="6" s="1"/>
  <c r="K980" i="6"/>
  <c r="J980" i="6"/>
  <c r="I980" i="6"/>
  <c r="O979" i="6"/>
  <c r="N979" i="6"/>
  <c r="L979" i="6"/>
  <c r="M979" i="6" s="1"/>
  <c r="K979" i="6"/>
  <c r="J979" i="6"/>
  <c r="I979" i="6"/>
  <c r="O978" i="6"/>
  <c r="N978" i="6"/>
  <c r="L978" i="6"/>
  <c r="M978" i="6" s="1"/>
  <c r="K978" i="6"/>
  <c r="J978" i="6"/>
  <c r="I978" i="6"/>
  <c r="O977" i="6"/>
  <c r="N977" i="6"/>
  <c r="L977" i="6"/>
  <c r="M977" i="6" s="1"/>
  <c r="K977" i="6"/>
  <c r="J977" i="6"/>
  <c r="I977" i="6"/>
  <c r="O976" i="6"/>
  <c r="N976" i="6"/>
  <c r="L976" i="6"/>
  <c r="M976" i="6" s="1"/>
  <c r="K976" i="6"/>
  <c r="J976" i="6"/>
  <c r="I976" i="6"/>
  <c r="O975" i="6"/>
  <c r="N975" i="6"/>
  <c r="L975" i="6"/>
  <c r="M975" i="6" s="1"/>
  <c r="K975" i="6"/>
  <c r="J975" i="6"/>
  <c r="I975" i="6"/>
  <c r="O974" i="6"/>
  <c r="N974" i="6"/>
  <c r="L974" i="6"/>
  <c r="M974" i="6" s="1"/>
  <c r="K974" i="6"/>
  <c r="J974" i="6"/>
  <c r="I974" i="6"/>
  <c r="O973" i="6"/>
  <c r="N973" i="6"/>
  <c r="L973" i="6"/>
  <c r="M973" i="6" s="1"/>
  <c r="K973" i="6"/>
  <c r="J973" i="6"/>
  <c r="I973" i="6"/>
  <c r="O972" i="6"/>
  <c r="N972" i="6"/>
  <c r="L972" i="6"/>
  <c r="M972" i="6" s="1"/>
  <c r="K972" i="6"/>
  <c r="J972" i="6"/>
  <c r="I972" i="6"/>
  <c r="O971" i="6"/>
  <c r="N971" i="6"/>
  <c r="L971" i="6"/>
  <c r="M971" i="6" s="1"/>
  <c r="K971" i="6"/>
  <c r="J971" i="6"/>
  <c r="I971" i="6"/>
  <c r="O970" i="6"/>
  <c r="N970" i="6"/>
  <c r="L970" i="6"/>
  <c r="M970" i="6" s="1"/>
  <c r="K970" i="6"/>
  <c r="J970" i="6"/>
  <c r="I970" i="6"/>
  <c r="O969" i="6"/>
  <c r="N969" i="6"/>
  <c r="L969" i="6"/>
  <c r="M969" i="6" s="1"/>
  <c r="K969" i="6"/>
  <c r="J969" i="6"/>
  <c r="I969" i="6"/>
  <c r="O968" i="6"/>
  <c r="N968" i="6"/>
  <c r="L968" i="6"/>
  <c r="M968" i="6" s="1"/>
  <c r="K968" i="6"/>
  <c r="J968" i="6"/>
  <c r="I968" i="6"/>
  <c r="O967" i="6"/>
  <c r="N967" i="6"/>
  <c r="L967" i="6"/>
  <c r="M967" i="6" s="1"/>
  <c r="K967" i="6"/>
  <c r="J967" i="6"/>
  <c r="I967" i="6"/>
  <c r="O966" i="6"/>
  <c r="N966" i="6"/>
  <c r="L966" i="6"/>
  <c r="M966" i="6" s="1"/>
  <c r="K966" i="6"/>
  <c r="J966" i="6"/>
  <c r="I966" i="6"/>
  <c r="O965" i="6"/>
  <c r="N965" i="6"/>
  <c r="L965" i="6"/>
  <c r="M965" i="6" s="1"/>
  <c r="K965" i="6"/>
  <c r="J965" i="6"/>
  <c r="I965" i="6"/>
  <c r="O964" i="6"/>
  <c r="N964" i="6"/>
  <c r="L964" i="6"/>
  <c r="M964" i="6" s="1"/>
  <c r="K964" i="6"/>
  <c r="J964" i="6"/>
  <c r="I964" i="6"/>
  <c r="O963" i="6"/>
  <c r="N963" i="6"/>
  <c r="L963" i="6"/>
  <c r="M963" i="6" s="1"/>
  <c r="K963" i="6"/>
  <c r="J963" i="6"/>
  <c r="I963" i="6"/>
  <c r="O962" i="6"/>
  <c r="N962" i="6"/>
  <c r="L962" i="6"/>
  <c r="M962" i="6" s="1"/>
  <c r="K962" i="6"/>
  <c r="J962" i="6"/>
  <c r="I962" i="6"/>
  <c r="O961" i="6"/>
  <c r="N961" i="6"/>
  <c r="L961" i="6"/>
  <c r="M961" i="6" s="1"/>
  <c r="K961" i="6"/>
  <c r="J961" i="6"/>
  <c r="I961" i="6"/>
  <c r="O960" i="6"/>
  <c r="N960" i="6"/>
  <c r="L960" i="6"/>
  <c r="M960" i="6" s="1"/>
  <c r="K960" i="6"/>
  <c r="J960" i="6"/>
  <c r="I960" i="6"/>
  <c r="O959" i="6"/>
  <c r="N959" i="6"/>
  <c r="L959" i="6"/>
  <c r="M959" i="6" s="1"/>
  <c r="K959" i="6"/>
  <c r="J959" i="6"/>
  <c r="I959" i="6"/>
  <c r="O958" i="6"/>
  <c r="N958" i="6"/>
  <c r="L958" i="6"/>
  <c r="M958" i="6" s="1"/>
  <c r="K958" i="6"/>
  <c r="J958" i="6"/>
  <c r="I958" i="6"/>
  <c r="O957" i="6"/>
  <c r="N957" i="6"/>
  <c r="L957" i="6"/>
  <c r="M957" i="6" s="1"/>
  <c r="K957" i="6"/>
  <c r="J957" i="6"/>
  <c r="I957" i="6"/>
  <c r="O956" i="6"/>
  <c r="N956" i="6"/>
  <c r="L956" i="6"/>
  <c r="M956" i="6" s="1"/>
  <c r="K956" i="6"/>
  <c r="J956" i="6"/>
  <c r="I956" i="6"/>
  <c r="O955" i="6"/>
  <c r="N955" i="6"/>
  <c r="L955" i="6"/>
  <c r="M955" i="6" s="1"/>
  <c r="K955" i="6"/>
  <c r="J955" i="6"/>
  <c r="I955" i="6"/>
  <c r="O954" i="6"/>
  <c r="N954" i="6"/>
  <c r="L954" i="6"/>
  <c r="M954" i="6" s="1"/>
  <c r="K954" i="6"/>
  <c r="J954" i="6"/>
  <c r="I954" i="6"/>
  <c r="O953" i="6"/>
  <c r="N953" i="6"/>
  <c r="L953" i="6"/>
  <c r="M953" i="6" s="1"/>
  <c r="K953" i="6"/>
  <c r="J953" i="6"/>
  <c r="I953" i="6"/>
  <c r="O952" i="6"/>
  <c r="N952" i="6"/>
  <c r="L952" i="6"/>
  <c r="M952" i="6" s="1"/>
  <c r="K952" i="6"/>
  <c r="J952" i="6"/>
  <c r="I952" i="6"/>
  <c r="O951" i="6"/>
  <c r="N951" i="6"/>
  <c r="L951" i="6"/>
  <c r="M951" i="6" s="1"/>
  <c r="K951" i="6"/>
  <c r="J951" i="6"/>
  <c r="I951" i="6"/>
  <c r="O950" i="6"/>
  <c r="N950" i="6"/>
  <c r="L950" i="6"/>
  <c r="M950" i="6" s="1"/>
  <c r="K950" i="6"/>
  <c r="J950" i="6"/>
  <c r="I950" i="6"/>
  <c r="O949" i="6"/>
  <c r="N949" i="6"/>
  <c r="L949" i="6"/>
  <c r="M949" i="6" s="1"/>
  <c r="K949" i="6"/>
  <c r="J949" i="6"/>
  <c r="I949" i="6"/>
  <c r="O948" i="6"/>
  <c r="N948" i="6"/>
  <c r="L948" i="6"/>
  <c r="M948" i="6" s="1"/>
  <c r="K948" i="6"/>
  <c r="J948" i="6"/>
  <c r="I948" i="6"/>
  <c r="O947" i="6"/>
  <c r="N947" i="6"/>
  <c r="L947" i="6"/>
  <c r="M947" i="6" s="1"/>
  <c r="K947" i="6"/>
  <c r="J947" i="6"/>
  <c r="I947" i="6"/>
  <c r="O946" i="6"/>
  <c r="N946" i="6"/>
  <c r="L946" i="6"/>
  <c r="M946" i="6" s="1"/>
  <c r="K946" i="6"/>
  <c r="J946" i="6"/>
  <c r="I946" i="6"/>
  <c r="O945" i="6"/>
  <c r="N945" i="6"/>
  <c r="L945" i="6"/>
  <c r="M945" i="6" s="1"/>
  <c r="K945" i="6"/>
  <c r="J945" i="6"/>
  <c r="I945" i="6"/>
  <c r="O944" i="6"/>
  <c r="N944" i="6"/>
  <c r="L944" i="6"/>
  <c r="M944" i="6" s="1"/>
  <c r="K944" i="6"/>
  <c r="J944" i="6"/>
  <c r="I944" i="6"/>
  <c r="O943" i="6"/>
  <c r="N943" i="6"/>
  <c r="L943" i="6"/>
  <c r="M943" i="6" s="1"/>
  <c r="K943" i="6"/>
  <c r="J943" i="6"/>
  <c r="I943" i="6"/>
  <c r="O942" i="6"/>
  <c r="N942" i="6"/>
  <c r="L942" i="6"/>
  <c r="M942" i="6" s="1"/>
  <c r="K942" i="6"/>
  <c r="J942" i="6"/>
  <c r="I942" i="6"/>
  <c r="O941" i="6"/>
  <c r="N941" i="6"/>
  <c r="L941" i="6"/>
  <c r="M941" i="6" s="1"/>
  <c r="K941" i="6"/>
  <c r="J941" i="6"/>
  <c r="I941" i="6"/>
  <c r="O940" i="6"/>
  <c r="N940" i="6"/>
  <c r="L940" i="6"/>
  <c r="M940" i="6" s="1"/>
  <c r="K940" i="6"/>
  <c r="J940" i="6"/>
  <c r="I940" i="6"/>
  <c r="O939" i="6"/>
  <c r="N939" i="6"/>
  <c r="L939" i="6"/>
  <c r="M939" i="6" s="1"/>
  <c r="K939" i="6"/>
  <c r="J939" i="6"/>
  <c r="I939" i="6"/>
  <c r="O938" i="6"/>
  <c r="N938" i="6"/>
  <c r="L938" i="6"/>
  <c r="M938" i="6" s="1"/>
  <c r="K938" i="6"/>
  <c r="J938" i="6"/>
  <c r="I938" i="6"/>
  <c r="O937" i="6"/>
  <c r="N937" i="6"/>
  <c r="L937" i="6"/>
  <c r="M937" i="6" s="1"/>
  <c r="K937" i="6"/>
  <c r="J937" i="6"/>
  <c r="I937" i="6"/>
  <c r="O936" i="6"/>
  <c r="N936" i="6"/>
  <c r="L936" i="6"/>
  <c r="M936" i="6" s="1"/>
  <c r="K936" i="6"/>
  <c r="J936" i="6"/>
  <c r="I936" i="6"/>
  <c r="O935" i="6"/>
  <c r="N935" i="6"/>
  <c r="L935" i="6"/>
  <c r="M935" i="6" s="1"/>
  <c r="K935" i="6"/>
  <c r="J935" i="6"/>
  <c r="I935" i="6"/>
  <c r="O934" i="6"/>
  <c r="N934" i="6"/>
  <c r="L934" i="6"/>
  <c r="M934" i="6" s="1"/>
  <c r="K934" i="6"/>
  <c r="J934" i="6"/>
  <c r="I934" i="6"/>
  <c r="O933" i="6"/>
  <c r="N933" i="6"/>
  <c r="L933" i="6"/>
  <c r="M933" i="6" s="1"/>
  <c r="K933" i="6"/>
  <c r="J933" i="6"/>
  <c r="I933" i="6"/>
  <c r="O932" i="6"/>
  <c r="N932" i="6"/>
  <c r="L932" i="6"/>
  <c r="M932" i="6" s="1"/>
  <c r="K932" i="6"/>
  <c r="J932" i="6"/>
  <c r="I932" i="6"/>
  <c r="O931" i="6"/>
  <c r="N931" i="6"/>
  <c r="L931" i="6"/>
  <c r="M931" i="6" s="1"/>
  <c r="K931" i="6"/>
  <c r="J931" i="6"/>
  <c r="I931" i="6"/>
  <c r="O930" i="6"/>
  <c r="N930" i="6"/>
  <c r="L930" i="6"/>
  <c r="M930" i="6" s="1"/>
  <c r="K930" i="6"/>
  <c r="J930" i="6"/>
  <c r="I930" i="6"/>
  <c r="O929" i="6"/>
  <c r="N929" i="6"/>
  <c r="L929" i="6"/>
  <c r="M929" i="6" s="1"/>
  <c r="K929" i="6"/>
  <c r="J929" i="6"/>
  <c r="I929" i="6"/>
  <c r="O928" i="6"/>
  <c r="N928" i="6"/>
  <c r="L928" i="6"/>
  <c r="M928" i="6" s="1"/>
  <c r="K928" i="6"/>
  <c r="J928" i="6"/>
  <c r="I928" i="6"/>
  <c r="O927" i="6"/>
  <c r="N927" i="6"/>
  <c r="L927" i="6"/>
  <c r="M927" i="6" s="1"/>
  <c r="K927" i="6"/>
  <c r="J927" i="6"/>
  <c r="I927" i="6"/>
  <c r="O926" i="6"/>
  <c r="N926" i="6"/>
  <c r="L926" i="6"/>
  <c r="M926" i="6" s="1"/>
  <c r="K926" i="6"/>
  <c r="J926" i="6"/>
  <c r="I926" i="6"/>
  <c r="O925" i="6"/>
  <c r="N925" i="6"/>
  <c r="L925" i="6"/>
  <c r="M925" i="6" s="1"/>
  <c r="K925" i="6"/>
  <c r="J925" i="6"/>
  <c r="I925" i="6"/>
  <c r="O924" i="6"/>
  <c r="N924" i="6"/>
  <c r="L924" i="6"/>
  <c r="M924" i="6" s="1"/>
  <c r="K924" i="6"/>
  <c r="J924" i="6"/>
  <c r="I924" i="6"/>
  <c r="O923" i="6"/>
  <c r="N923" i="6"/>
  <c r="L923" i="6"/>
  <c r="M923" i="6" s="1"/>
  <c r="K923" i="6"/>
  <c r="J923" i="6"/>
  <c r="I923" i="6"/>
  <c r="O922" i="6"/>
  <c r="N922" i="6"/>
  <c r="L922" i="6"/>
  <c r="M922" i="6" s="1"/>
  <c r="K922" i="6"/>
  <c r="J922" i="6"/>
  <c r="I922" i="6"/>
  <c r="O921" i="6"/>
  <c r="N921" i="6"/>
  <c r="L921" i="6"/>
  <c r="M921" i="6" s="1"/>
  <c r="K921" i="6"/>
  <c r="J921" i="6"/>
  <c r="I921" i="6"/>
  <c r="O920" i="6"/>
  <c r="N920" i="6"/>
  <c r="L920" i="6"/>
  <c r="M920" i="6" s="1"/>
  <c r="K920" i="6"/>
  <c r="J920" i="6"/>
  <c r="I920" i="6"/>
  <c r="O919" i="6"/>
  <c r="N919" i="6"/>
  <c r="L919" i="6"/>
  <c r="M919" i="6" s="1"/>
  <c r="K919" i="6"/>
  <c r="J919" i="6"/>
  <c r="I919" i="6"/>
  <c r="O918" i="6"/>
  <c r="N918" i="6"/>
  <c r="L918" i="6"/>
  <c r="M918" i="6" s="1"/>
  <c r="K918" i="6"/>
  <c r="J918" i="6"/>
  <c r="I918" i="6"/>
  <c r="O917" i="6"/>
  <c r="N917" i="6"/>
  <c r="L917" i="6"/>
  <c r="M917" i="6" s="1"/>
  <c r="K917" i="6"/>
  <c r="J917" i="6"/>
  <c r="I917" i="6"/>
  <c r="O916" i="6"/>
  <c r="N916" i="6"/>
  <c r="L916" i="6"/>
  <c r="M916" i="6" s="1"/>
  <c r="K916" i="6"/>
  <c r="J916" i="6"/>
  <c r="I916" i="6"/>
  <c r="O915" i="6"/>
  <c r="N915" i="6"/>
  <c r="L915" i="6"/>
  <c r="M915" i="6" s="1"/>
  <c r="K915" i="6"/>
  <c r="J915" i="6"/>
  <c r="I915" i="6"/>
  <c r="O914" i="6"/>
  <c r="N914" i="6"/>
  <c r="L914" i="6"/>
  <c r="M914" i="6" s="1"/>
  <c r="K914" i="6"/>
  <c r="J914" i="6"/>
  <c r="I914" i="6"/>
  <c r="O913" i="6"/>
  <c r="N913" i="6"/>
  <c r="L913" i="6"/>
  <c r="M913" i="6" s="1"/>
  <c r="K913" i="6"/>
  <c r="J913" i="6"/>
  <c r="I913" i="6"/>
  <c r="O912" i="6"/>
  <c r="N912" i="6"/>
  <c r="L912" i="6"/>
  <c r="M912" i="6" s="1"/>
  <c r="K912" i="6"/>
  <c r="J912" i="6"/>
  <c r="I912" i="6"/>
  <c r="O911" i="6"/>
  <c r="N911" i="6"/>
  <c r="L911" i="6"/>
  <c r="M911" i="6" s="1"/>
  <c r="K911" i="6"/>
  <c r="J911" i="6"/>
  <c r="I911" i="6"/>
  <c r="O910" i="6"/>
  <c r="N910" i="6"/>
  <c r="L910" i="6"/>
  <c r="M910" i="6" s="1"/>
  <c r="K910" i="6"/>
  <c r="J910" i="6"/>
  <c r="I910" i="6"/>
  <c r="O909" i="6"/>
  <c r="N909" i="6"/>
  <c r="L909" i="6"/>
  <c r="M909" i="6" s="1"/>
  <c r="K909" i="6"/>
  <c r="J909" i="6"/>
  <c r="I909" i="6"/>
  <c r="O908" i="6"/>
  <c r="N908" i="6"/>
  <c r="L908" i="6"/>
  <c r="M908" i="6" s="1"/>
  <c r="K908" i="6"/>
  <c r="J908" i="6"/>
  <c r="I908" i="6"/>
  <c r="O907" i="6"/>
  <c r="N907" i="6"/>
  <c r="L907" i="6"/>
  <c r="M907" i="6" s="1"/>
  <c r="K907" i="6"/>
  <c r="J907" i="6"/>
  <c r="I907" i="6"/>
  <c r="O906" i="6"/>
  <c r="N906" i="6"/>
  <c r="L906" i="6"/>
  <c r="M906" i="6" s="1"/>
  <c r="K906" i="6"/>
  <c r="J906" i="6"/>
  <c r="I906" i="6"/>
  <c r="O905" i="6"/>
  <c r="N905" i="6"/>
  <c r="L905" i="6"/>
  <c r="M905" i="6" s="1"/>
  <c r="K905" i="6"/>
  <c r="J905" i="6"/>
  <c r="I905" i="6"/>
  <c r="O904" i="6"/>
  <c r="N904" i="6"/>
  <c r="L904" i="6"/>
  <c r="M904" i="6" s="1"/>
  <c r="K904" i="6"/>
  <c r="J904" i="6"/>
  <c r="I904" i="6"/>
  <c r="O903" i="6"/>
  <c r="N903" i="6"/>
  <c r="L903" i="6"/>
  <c r="M903" i="6" s="1"/>
  <c r="K903" i="6"/>
  <c r="J903" i="6"/>
  <c r="I903" i="6"/>
  <c r="O902" i="6"/>
  <c r="N902" i="6"/>
  <c r="L902" i="6"/>
  <c r="M902" i="6" s="1"/>
  <c r="K902" i="6"/>
  <c r="J902" i="6"/>
  <c r="I902" i="6"/>
  <c r="O901" i="6"/>
  <c r="N901" i="6"/>
  <c r="L901" i="6"/>
  <c r="M901" i="6" s="1"/>
  <c r="K901" i="6"/>
  <c r="J901" i="6"/>
  <c r="I901" i="6"/>
  <c r="O900" i="6"/>
  <c r="N900" i="6"/>
  <c r="L900" i="6"/>
  <c r="M900" i="6" s="1"/>
  <c r="K900" i="6"/>
  <c r="J900" i="6"/>
  <c r="I900" i="6"/>
  <c r="O899" i="6"/>
  <c r="N899" i="6"/>
  <c r="L899" i="6"/>
  <c r="M899" i="6" s="1"/>
  <c r="K899" i="6"/>
  <c r="J899" i="6"/>
  <c r="I899" i="6"/>
  <c r="O898" i="6"/>
  <c r="N898" i="6"/>
  <c r="L898" i="6"/>
  <c r="M898" i="6" s="1"/>
  <c r="K898" i="6"/>
  <c r="J898" i="6"/>
  <c r="I898" i="6"/>
  <c r="O897" i="6"/>
  <c r="N897" i="6"/>
  <c r="L897" i="6"/>
  <c r="M897" i="6" s="1"/>
  <c r="K897" i="6"/>
  <c r="J897" i="6"/>
  <c r="I897" i="6"/>
  <c r="O896" i="6"/>
  <c r="N896" i="6"/>
  <c r="L896" i="6"/>
  <c r="M896" i="6" s="1"/>
  <c r="K896" i="6"/>
  <c r="J896" i="6"/>
  <c r="I896" i="6"/>
  <c r="O895" i="6"/>
  <c r="N895" i="6"/>
  <c r="L895" i="6"/>
  <c r="M895" i="6" s="1"/>
  <c r="K895" i="6"/>
  <c r="J895" i="6"/>
  <c r="I895" i="6"/>
  <c r="O894" i="6"/>
  <c r="N894" i="6"/>
  <c r="L894" i="6"/>
  <c r="M894" i="6" s="1"/>
  <c r="K894" i="6"/>
  <c r="J894" i="6"/>
  <c r="I894" i="6"/>
  <c r="O893" i="6"/>
  <c r="N893" i="6"/>
  <c r="L893" i="6"/>
  <c r="M893" i="6" s="1"/>
  <c r="K893" i="6"/>
  <c r="J893" i="6"/>
  <c r="I893" i="6"/>
  <c r="O892" i="6"/>
  <c r="N892" i="6"/>
  <c r="L892" i="6"/>
  <c r="M892" i="6" s="1"/>
  <c r="K892" i="6"/>
  <c r="J892" i="6"/>
  <c r="I892" i="6"/>
  <c r="O891" i="6"/>
  <c r="N891" i="6"/>
  <c r="L891" i="6"/>
  <c r="M891" i="6" s="1"/>
  <c r="K891" i="6"/>
  <c r="J891" i="6"/>
  <c r="I891" i="6"/>
  <c r="O890" i="6"/>
  <c r="N890" i="6"/>
  <c r="L890" i="6"/>
  <c r="M890" i="6" s="1"/>
  <c r="K890" i="6"/>
  <c r="J890" i="6"/>
  <c r="I890" i="6"/>
  <c r="O889" i="6"/>
  <c r="N889" i="6"/>
  <c r="L889" i="6"/>
  <c r="M889" i="6" s="1"/>
  <c r="K889" i="6"/>
  <c r="J889" i="6"/>
  <c r="I889" i="6"/>
  <c r="O888" i="6"/>
  <c r="N888" i="6"/>
  <c r="L888" i="6"/>
  <c r="M888" i="6" s="1"/>
  <c r="K888" i="6"/>
  <c r="J888" i="6"/>
  <c r="I888" i="6"/>
  <c r="O887" i="6"/>
  <c r="N887" i="6"/>
  <c r="L887" i="6"/>
  <c r="M887" i="6" s="1"/>
  <c r="K887" i="6"/>
  <c r="J887" i="6"/>
  <c r="I887" i="6"/>
  <c r="O886" i="6"/>
  <c r="N886" i="6"/>
  <c r="L886" i="6"/>
  <c r="M886" i="6" s="1"/>
  <c r="K886" i="6"/>
  <c r="J886" i="6"/>
  <c r="I886" i="6"/>
  <c r="O885" i="6"/>
  <c r="N885" i="6"/>
  <c r="L885" i="6"/>
  <c r="M885" i="6" s="1"/>
  <c r="K885" i="6"/>
  <c r="J885" i="6"/>
  <c r="I885" i="6"/>
  <c r="O884" i="6"/>
  <c r="N884" i="6"/>
  <c r="L884" i="6"/>
  <c r="M884" i="6" s="1"/>
  <c r="K884" i="6"/>
  <c r="J884" i="6"/>
  <c r="I884" i="6"/>
  <c r="O883" i="6"/>
  <c r="N883" i="6"/>
  <c r="L883" i="6"/>
  <c r="M883" i="6" s="1"/>
  <c r="K883" i="6"/>
  <c r="J883" i="6"/>
  <c r="I883" i="6"/>
  <c r="O882" i="6"/>
  <c r="N882" i="6"/>
  <c r="L882" i="6"/>
  <c r="M882" i="6" s="1"/>
  <c r="K882" i="6"/>
  <c r="J882" i="6"/>
  <c r="I882" i="6"/>
  <c r="O881" i="6"/>
  <c r="N881" i="6"/>
  <c r="L881" i="6"/>
  <c r="M881" i="6" s="1"/>
  <c r="K881" i="6"/>
  <c r="J881" i="6"/>
  <c r="I881" i="6"/>
  <c r="O880" i="6"/>
  <c r="N880" i="6"/>
  <c r="L880" i="6"/>
  <c r="M880" i="6" s="1"/>
  <c r="K880" i="6"/>
  <c r="J880" i="6"/>
  <c r="I880" i="6"/>
  <c r="O879" i="6"/>
  <c r="N879" i="6"/>
  <c r="L879" i="6"/>
  <c r="M879" i="6" s="1"/>
  <c r="K879" i="6"/>
  <c r="J879" i="6"/>
  <c r="I879" i="6"/>
  <c r="O878" i="6"/>
  <c r="N878" i="6"/>
  <c r="L878" i="6"/>
  <c r="M878" i="6" s="1"/>
  <c r="K878" i="6"/>
  <c r="J878" i="6"/>
  <c r="I878" i="6"/>
  <c r="O877" i="6"/>
  <c r="N877" i="6"/>
  <c r="L877" i="6"/>
  <c r="M877" i="6" s="1"/>
  <c r="K877" i="6"/>
  <c r="J877" i="6"/>
  <c r="I877" i="6"/>
  <c r="O876" i="6"/>
  <c r="N876" i="6"/>
  <c r="L876" i="6"/>
  <c r="M876" i="6" s="1"/>
  <c r="K876" i="6"/>
  <c r="J876" i="6"/>
  <c r="I876" i="6"/>
  <c r="O875" i="6"/>
  <c r="N875" i="6"/>
  <c r="L875" i="6"/>
  <c r="M875" i="6" s="1"/>
  <c r="K875" i="6"/>
  <c r="J875" i="6"/>
  <c r="I875" i="6"/>
  <c r="O874" i="6"/>
  <c r="N874" i="6"/>
  <c r="L874" i="6"/>
  <c r="M874" i="6" s="1"/>
  <c r="K874" i="6"/>
  <c r="J874" i="6"/>
  <c r="I874" i="6"/>
  <c r="O873" i="6"/>
  <c r="N873" i="6"/>
  <c r="L873" i="6"/>
  <c r="M873" i="6" s="1"/>
  <c r="K873" i="6"/>
  <c r="J873" i="6"/>
  <c r="I873" i="6"/>
  <c r="O872" i="6"/>
  <c r="N872" i="6"/>
  <c r="L872" i="6"/>
  <c r="M872" i="6" s="1"/>
  <c r="K872" i="6"/>
  <c r="J872" i="6"/>
  <c r="I872" i="6"/>
  <c r="O871" i="6"/>
  <c r="N871" i="6"/>
  <c r="L871" i="6"/>
  <c r="M871" i="6" s="1"/>
  <c r="K871" i="6"/>
  <c r="J871" i="6"/>
  <c r="I871" i="6"/>
  <c r="O870" i="6"/>
  <c r="N870" i="6"/>
  <c r="L870" i="6"/>
  <c r="M870" i="6" s="1"/>
  <c r="K870" i="6"/>
  <c r="J870" i="6"/>
  <c r="I870" i="6"/>
  <c r="O869" i="6"/>
  <c r="N869" i="6"/>
  <c r="L869" i="6"/>
  <c r="M869" i="6" s="1"/>
  <c r="K869" i="6"/>
  <c r="J869" i="6"/>
  <c r="I869" i="6"/>
  <c r="O868" i="6"/>
  <c r="N868" i="6"/>
  <c r="L868" i="6"/>
  <c r="M868" i="6" s="1"/>
  <c r="K868" i="6"/>
  <c r="J868" i="6"/>
  <c r="I868" i="6"/>
  <c r="O867" i="6"/>
  <c r="N867" i="6"/>
  <c r="L867" i="6"/>
  <c r="M867" i="6" s="1"/>
  <c r="K867" i="6"/>
  <c r="J867" i="6"/>
  <c r="I867" i="6"/>
  <c r="O866" i="6"/>
  <c r="N866" i="6"/>
  <c r="L866" i="6"/>
  <c r="M866" i="6" s="1"/>
  <c r="K866" i="6"/>
  <c r="J866" i="6"/>
  <c r="I866" i="6"/>
  <c r="O865" i="6"/>
  <c r="N865" i="6"/>
  <c r="L865" i="6"/>
  <c r="M865" i="6" s="1"/>
  <c r="K865" i="6"/>
  <c r="J865" i="6"/>
  <c r="I865" i="6"/>
  <c r="O864" i="6"/>
  <c r="N864" i="6"/>
  <c r="L864" i="6"/>
  <c r="M864" i="6" s="1"/>
  <c r="K864" i="6"/>
  <c r="J864" i="6"/>
  <c r="I864" i="6"/>
  <c r="O863" i="6"/>
  <c r="N863" i="6"/>
  <c r="L863" i="6"/>
  <c r="M863" i="6" s="1"/>
  <c r="K863" i="6"/>
  <c r="J863" i="6"/>
  <c r="I863" i="6"/>
  <c r="O862" i="6"/>
  <c r="N862" i="6"/>
  <c r="L862" i="6"/>
  <c r="M862" i="6" s="1"/>
  <c r="K862" i="6"/>
  <c r="J862" i="6"/>
  <c r="I862" i="6"/>
  <c r="O861" i="6"/>
  <c r="N861" i="6"/>
  <c r="L861" i="6"/>
  <c r="M861" i="6" s="1"/>
  <c r="K861" i="6"/>
  <c r="J861" i="6"/>
  <c r="I861" i="6"/>
  <c r="O860" i="6"/>
  <c r="N860" i="6"/>
  <c r="L860" i="6"/>
  <c r="M860" i="6" s="1"/>
  <c r="K860" i="6"/>
  <c r="J860" i="6"/>
  <c r="I860" i="6"/>
  <c r="O859" i="6"/>
  <c r="N859" i="6"/>
  <c r="L859" i="6"/>
  <c r="M859" i="6" s="1"/>
  <c r="K859" i="6"/>
  <c r="J859" i="6"/>
  <c r="I859" i="6"/>
  <c r="O858" i="6"/>
  <c r="N858" i="6"/>
  <c r="L858" i="6"/>
  <c r="M858" i="6" s="1"/>
  <c r="K858" i="6"/>
  <c r="J858" i="6"/>
  <c r="I858" i="6"/>
  <c r="O857" i="6"/>
  <c r="N857" i="6"/>
  <c r="L857" i="6"/>
  <c r="M857" i="6" s="1"/>
  <c r="K857" i="6"/>
  <c r="J857" i="6"/>
  <c r="I857" i="6"/>
  <c r="O856" i="6"/>
  <c r="N856" i="6"/>
  <c r="L856" i="6"/>
  <c r="M856" i="6" s="1"/>
  <c r="K856" i="6"/>
  <c r="J856" i="6"/>
  <c r="I856" i="6"/>
  <c r="O855" i="6"/>
  <c r="N855" i="6"/>
  <c r="L855" i="6"/>
  <c r="M855" i="6" s="1"/>
  <c r="K855" i="6"/>
  <c r="J855" i="6"/>
  <c r="I855" i="6"/>
  <c r="O854" i="6"/>
  <c r="N854" i="6"/>
  <c r="L854" i="6"/>
  <c r="M854" i="6" s="1"/>
  <c r="K854" i="6"/>
  <c r="J854" i="6"/>
  <c r="I854" i="6"/>
  <c r="O853" i="6"/>
  <c r="N853" i="6"/>
  <c r="L853" i="6"/>
  <c r="M853" i="6" s="1"/>
  <c r="K853" i="6"/>
  <c r="J853" i="6"/>
  <c r="I853" i="6"/>
  <c r="O852" i="6"/>
  <c r="N852" i="6"/>
  <c r="L852" i="6"/>
  <c r="M852" i="6" s="1"/>
  <c r="K852" i="6"/>
  <c r="J852" i="6"/>
  <c r="I852" i="6"/>
  <c r="O851" i="6"/>
  <c r="N851" i="6"/>
  <c r="L851" i="6"/>
  <c r="M851" i="6" s="1"/>
  <c r="K851" i="6"/>
  <c r="J851" i="6"/>
  <c r="I851" i="6"/>
  <c r="O850" i="6"/>
  <c r="N850" i="6"/>
  <c r="L850" i="6"/>
  <c r="M850" i="6" s="1"/>
  <c r="K850" i="6"/>
  <c r="J850" i="6"/>
  <c r="I850" i="6"/>
  <c r="O849" i="6"/>
  <c r="N849" i="6"/>
  <c r="L849" i="6"/>
  <c r="M849" i="6" s="1"/>
  <c r="K849" i="6"/>
  <c r="J849" i="6"/>
  <c r="I849" i="6"/>
  <c r="O848" i="6"/>
  <c r="N848" i="6"/>
  <c r="L848" i="6"/>
  <c r="M848" i="6" s="1"/>
  <c r="K848" i="6"/>
  <c r="J848" i="6"/>
  <c r="I848" i="6"/>
  <c r="O847" i="6"/>
  <c r="N847" i="6"/>
  <c r="L847" i="6"/>
  <c r="M847" i="6" s="1"/>
  <c r="K847" i="6"/>
  <c r="J847" i="6"/>
  <c r="I847" i="6"/>
  <c r="O846" i="6"/>
  <c r="N846" i="6"/>
  <c r="L846" i="6"/>
  <c r="M846" i="6" s="1"/>
  <c r="K846" i="6"/>
  <c r="J846" i="6"/>
  <c r="I846" i="6"/>
  <c r="O845" i="6"/>
  <c r="N845" i="6"/>
  <c r="L845" i="6"/>
  <c r="M845" i="6" s="1"/>
  <c r="K845" i="6"/>
  <c r="J845" i="6"/>
  <c r="I845" i="6"/>
  <c r="O844" i="6"/>
  <c r="N844" i="6"/>
  <c r="L844" i="6"/>
  <c r="M844" i="6" s="1"/>
  <c r="K844" i="6"/>
  <c r="J844" i="6"/>
  <c r="I844" i="6"/>
  <c r="O843" i="6"/>
  <c r="N843" i="6"/>
  <c r="L843" i="6"/>
  <c r="M843" i="6" s="1"/>
  <c r="K843" i="6"/>
  <c r="J843" i="6"/>
  <c r="I843" i="6"/>
  <c r="O842" i="6"/>
  <c r="N842" i="6"/>
  <c r="L842" i="6"/>
  <c r="M842" i="6" s="1"/>
  <c r="K842" i="6"/>
  <c r="J842" i="6"/>
  <c r="I842" i="6"/>
  <c r="O841" i="6"/>
  <c r="N841" i="6"/>
  <c r="L841" i="6"/>
  <c r="M841" i="6" s="1"/>
  <c r="K841" i="6"/>
  <c r="J841" i="6"/>
  <c r="I841" i="6"/>
  <c r="O840" i="6"/>
  <c r="N840" i="6"/>
  <c r="L840" i="6"/>
  <c r="M840" i="6" s="1"/>
  <c r="K840" i="6"/>
  <c r="J840" i="6"/>
  <c r="I840" i="6"/>
  <c r="O839" i="6"/>
  <c r="N839" i="6"/>
  <c r="L839" i="6"/>
  <c r="M839" i="6" s="1"/>
  <c r="K839" i="6"/>
  <c r="J839" i="6"/>
  <c r="I839" i="6"/>
  <c r="O838" i="6"/>
  <c r="N838" i="6"/>
  <c r="L838" i="6"/>
  <c r="M838" i="6" s="1"/>
  <c r="K838" i="6"/>
  <c r="J838" i="6"/>
  <c r="I838" i="6"/>
  <c r="O837" i="6"/>
  <c r="N837" i="6"/>
  <c r="L837" i="6"/>
  <c r="M837" i="6" s="1"/>
  <c r="K837" i="6"/>
  <c r="J837" i="6"/>
  <c r="I837" i="6"/>
  <c r="O836" i="6"/>
  <c r="N836" i="6"/>
  <c r="L836" i="6"/>
  <c r="M836" i="6" s="1"/>
  <c r="K836" i="6"/>
  <c r="J836" i="6"/>
  <c r="I836" i="6"/>
  <c r="O835" i="6"/>
  <c r="N835" i="6"/>
  <c r="L835" i="6"/>
  <c r="M835" i="6" s="1"/>
  <c r="K835" i="6"/>
  <c r="J835" i="6"/>
  <c r="I835" i="6"/>
  <c r="O834" i="6"/>
  <c r="N834" i="6"/>
  <c r="L834" i="6"/>
  <c r="M834" i="6" s="1"/>
  <c r="K834" i="6"/>
  <c r="J834" i="6"/>
  <c r="I834" i="6"/>
  <c r="O833" i="6"/>
  <c r="N833" i="6"/>
  <c r="L833" i="6"/>
  <c r="M833" i="6" s="1"/>
  <c r="K833" i="6"/>
  <c r="J833" i="6"/>
  <c r="I833" i="6"/>
  <c r="O832" i="6"/>
  <c r="N832" i="6"/>
  <c r="L832" i="6"/>
  <c r="M832" i="6" s="1"/>
  <c r="K832" i="6"/>
  <c r="J832" i="6"/>
  <c r="I832" i="6"/>
  <c r="O831" i="6"/>
  <c r="N831" i="6"/>
  <c r="L831" i="6"/>
  <c r="M831" i="6" s="1"/>
  <c r="K831" i="6"/>
  <c r="J831" i="6"/>
  <c r="I831" i="6"/>
  <c r="O830" i="6"/>
  <c r="N830" i="6"/>
  <c r="L830" i="6"/>
  <c r="M830" i="6" s="1"/>
  <c r="K830" i="6"/>
  <c r="J830" i="6"/>
  <c r="I830" i="6"/>
  <c r="O829" i="6"/>
  <c r="N829" i="6"/>
  <c r="L829" i="6"/>
  <c r="M829" i="6" s="1"/>
  <c r="K829" i="6"/>
  <c r="J829" i="6"/>
  <c r="I829" i="6"/>
  <c r="O828" i="6"/>
  <c r="N828" i="6"/>
  <c r="L828" i="6"/>
  <c r="M828" i="6" s="1"/>
  <c r="K828" i="6"/>
  <c r="J828" i="6"/>
  <c r="I828" i="6"/>
  <c r="O827" i="6"/>
  <c r="N827" i="6"/>
  <c r="L827" i="6"/>
  <c r="M827" i="6" s="1"/>
  <c r="K827" i="6"/>
  <c r="J827" i="6"/>
  <c r="I827" i="6"/>
  <c r="O826" i="6"/>
  <c r="N826" i="6"/>
  <c r="L826" i="6"/>
  <c r="M826" i="6" s="1"/>
  <c r="K826" i="6"/>
  <c r="J826" i="6"/>
  <c r="I826" i="6"/>
  <c r="O825" i="6"/>
  <c r="N825" i="6"/>
  <c r="L825" i="6"/>
  <c r="M825" i="6" s="1"/>
  <c r="K825" i="6"/>
  <c r="J825" i="6"/>
  <c r="I825" i="6"/>
  <c r="O824" i="6"/>
  <c r="N824" i="6"/>
  <c r="L824" i="6"/>
  <c r="M824" i="6" s="1"/>
  <c r="K824" i="6"/>
  <c r="J824" i="6"/>
  <c r="I824" i="6"/>
  <c r="O823" i="6"/>
  <c r="N823" i="6"/>
  <c r="L823" i="6"/>
  <c r="M823" i="6" s="1"/>
  <c r="K823" i="6"/>
  <c r="J823" i="6"/>
  <c r="I823" i="6"/>
  <c r="O822" i="6"/>
  <c r="N822" i="6"/>
  <c r="L822" i="6"/>
  <c r="M822" i="6" s="1"/>
  <c r="K822" i="6"/>
  <c r="J822" i="6"/>
  <c r="I822" i="6"/>
  <c r="O821" i="6"/>
  <c r="N821" i="6"/>
  <c r="L821" i="6"/>
  <c r="M821" i="6" s="1"/>
  <c r="K821" i="6"/>
  <c r="J821" i="6"/>
  <c r="I821" i="6"/>
  <c r="O820" i="6"/>
  <c r="N820" i="6"/>
  <c r="L820" i="6"/>
  <c r="M820" i="6" s="1"/>
  <c r="K820" i="6"/>
  <c r="J820" i="6"/>
  <c r="I820" i="6"/>
  <c r="O819" i="6"/>
  <c r="N819" i="6"/>
  <c r="L819" i="6"/>
  <c r="M819" i="6" s="1"/>
  <c r="K819" i="6"/>
  <c r="J819" i="6"/>
  <c r="I819" i="6"/>
  <c r="O818" i="6"/>
  <c r="N818" i="6"/>
  <c r="L818" i="6"/>
  <c r="M818" i="6" s="1"/>
  <c r="K818" i="6"/>
  <c r="J818" i="6"/>
  <c r="I818" i="6"/>
  <c r="O817" i="6"/>
  <c r="N817" i="6"/>
  <c r="L817" i="6"/>
  <c r="M817" i="6" s="1"/>
  <c r="K817" i="6"/>
  <c r="J817" i="6"/>
  <c r="I817" i="6"/>
  <c r="O816" i="6"/>
  <c r="N816" i="6"/>
  <c r="L816" i="6"/>
  <c r="M816" i="6" s="1"/>
  <c r="K816" i="6"/>
  <c r="J816" i="6"/>
  <c r="I816" i="6"/>
  <c r="O815" i="6"/>
  <c r="N815" i="6"/>
  <c r="L815" i="6"/>
  <c r="M815" i="6" s="1"/>
  <c r="K815" i="6"/>
  <c r="J815" i="6"/>
  <c r="I815" i="6"/>
  <c r="O814" i="6"/>
  <c r="N814" i="6"/>
  <c r="L814" i="6"/>
  <c r="M814" i="6" s="1"/>
  <c r="K814" i="6"/>
  <c r="J814" i="6"/>
  <c r="I814" i="6"/>
  <c r="O813" i="6"/>
  <c r="N813" i="6"/>
  <c r="L813" i="6"/>
  <c r="M813" i="6" s="1"/>
  <c r="K813" i="6"/>
  <c r="J813" i="6"/>
  <c r="I813" i="6"/>
  <c r="O812" i="6"/>
  <c r="N812" i="6"/>
  <c r="L812" i="6"/>
  <c r="M812" i="6" s="1"/>
  <c r="K812" i="6"/>
  <c r="J812" i="6"/>
  <c r="I812" i="6"/>
  <c r="O811" i="6"/>
  <c r="N811" i="6"/>
  <c r="L811" i="6"/>
  <c r="M811" i="6" s="1"/>
  <c r="K811" i="6"/>
  <c r="J811" i="6"/>
  <c r="I811" i="6"/>
  <c r="O810" i="6"/>
  <c r="N810" i="6"/>
  <c r="L810" i="6"/>
  <c r="M810" i="6" s="1"/>
  <c r="K810" i="6"/>
  <c r="J810" i="6"/>
  <c r="I810" i="6"/>
  <c r="O809" i="6"/>
  <c r="N809" i="6"/>
  <c r="L809" i="6"/>
  <c r="M809" i="6" s="1"/>
  <c r="K809" i="6"/>
  <c r="J809" i="6"/>
  <c r="I809" i="6"/>
  <c r="O808" i="6"/>
  <c r="N808" i="6"/>
  <c r="L808" i="6"/>
  <c r="M808" i="6" s="1"/>
  <c r="K808" i="6"/>
  <c r="J808" i="6"/>
  <c r="I808" i="6"/>
  <c r="O807" i="6"/>
  <c r="N807" i="6"/>
  <c r="L807" i="6"/>
  <c r="M807" i="6" s="1"/>
  <c r="K807" i="6"/>
  <c r="J807" i="6"/>
  <c r="I807" i="6"/>
  <c r="O806" i="6"/>
  <c r="N806" i="6"/>
  <c r="L806" i="6"/>
  <c r="M806" i="6" s="1"/>
  <c r="K806" i="6"/>
  <c r="J806" i="6"/>
  <c r="I806" i="6"/>
  <c r="O805" i="6"/>
  <c r="N805" i="6"/>
  <c r="L805" i="6"/>
  <c r="M805" i="6" s="1"/>
  <c r="K805" i="6"/>
  <c r="J805" i="6"/>
  <c r="I805" i="6"/>
  <c r="O804" i="6"/>
  <c r="N804" i="6"/>
  <c r="L804" i="6"/>
  <c r="M804" i="6" s="1"/>
  <c r="K804" i="6"/>
  <c r="J804" i="6"/>
  <c r="I804" i="6"/>
  <c r="O803" i="6"/>
  <c r="N803" i="6"/>
  <c r="L803" i="6"/>
  <c r="M803" i="6" s="1"/>
  <c r="K803" i="6"/>
  <c r="J803" i="6"/>
  <c r="I803" i="6"/>
  <c r="O802" i="6"/>
  <c r="N802" i="6"/>
  <c r="L802" i="6"/>
  <c r="M802" i="6" s="1"/>
  <c r="K802" i="6"/>
  <c r="J802" i="6"/>
  <c r="I802" i="6"/>
  <c r="O801" i="6"/>
  <c r="N801" i="6"/>
  <c r="L801" i="6"/>
  <c r="M801" i="6" s="1"/>
  <c r="K801" i="6"/>
  <c r="J801" i="6"/>
  <c r="I801" i="6"/>
  <c r="O800" i="6"/>
  <c r="N800" i="6"/>
  <c r="L800" i="6"/>
  <c r="M800" i="6" s="1"/>
  <c r="K800" i="6"/>
  <c r="J800" i="6"/>
  <c r="I800" i="6"/>
  <c r="O799" i="6"/>
  <c r="N799" i="6"/>
  <c r="L799" i="6"/>
  <c r="M799" i="6" s="1"/>
  <c r="K799" i="6"/>
  <c r="J799" i="6"/>
  <c r="I799" i="6"/>
  <c r="O798" i="6"/>
  <c r="N798" i="6"/>
  <c r="L798" i="6"/>
  <c r="M798" i="6" s="1"/>
  <c r="K798" i="6"/>
  <c r="J798" i="6"/>
  <c r="I798" i="6"/>
  <c r="O797" i="6"/>
  <c r="N797" i="6"/>
  <c r="L797" i="6"/>
  <c r="M797" i="6" s="1"/>
  <c r="K797" i="6"/>
  <c r="J797" i="6"/>
  <c r="I797" i="6"/>
  <c r="O796" i="6"/>
  <c r="N796" i="6"/>
  <c r="L796" i="6"/>
  <c r="M796" i="6" s="1"/>
  <c r="K796" i="6"/>
  <c r="J796" i="6"/>
  <c r="I796" i="6"/>
  <c r="O795" i="6"/>
  <c r="N795" i="6"/>
  <c r="L795" i="6"/>
  <c r="M795" i="6" s="1"/>
  <c r="K795" i="6"/>
  <c r="J795" i="6"/>
  <c r="I795" i="6"/>
  <c r="O794" i="6"/>
  <c r="N794" i="6"/>
  <c r="L794" i="6"/>
  <c r="M794" i="6" s="1"/>
  <c r="K794" i="6"/>
  <c r="J794" i="6"/>
  <c r="I794" i="6"/>
  <c r="O793" i="6"/>
  <c r="N793" i="6"/>
  <c r="L793" i="6"/>
  <c r="M793" i="6" s="1"/>
  <c r="K793" i="6"/>
  <c r="J793" i="6"/>
  <c r="I793" i="6"/>
  <c r="O792" i="6"/>
  <c r="N792" i="6"/>
  <c r="L792" i="6"/>
  <c r="M792" i="6" s="1"/>
  <c r="K792" i="6"/>
  <c r="J792" i="6"/>
  <c r="I792" i="6"/>
  <c r="O791" i="6"/>
  <c r="N791" i="6"/>
  <c r="L791" i="6"/>
  <c r="M791" i="6" s="1"/>
  <c r="K791" i="6"/>
  <c r="J791" i="6"/>
  <c r="I791" i="6"/>
  <c r="O790" i="6"/>
  <c r="N790" i="6"/>
  <c r="L790" i="6"/>
  <c r="M790" i="6" s="1"/>
  <c r="K790" i="6"/>
  <c r="J790" i="6"/>
  <c r="I790" i="6"/>
  <c r="O789" i="6"/>
  <c r="N789" i="6"/>
  <c r="L789" i="6"/>
  <c r="M789" i="6" s="1"/>
  <c r="K789" i="6"/>
  <c r="J789" i="6"/>
  <c r="I789" i="6"/>
  <c r="O788" i="6"/>
  <c r="N788" i="6"/>
  <c r="L788" i="6"/>
  <c r="M788" i="6" s="1"/>
  <c r="K788" i="6"/>
  <c r="J788" i="6"/>
  <c r="I788" i="6"/>
  <c r="O787" i="6"/>
  <c r="N787" i="6"/>
  <c r="L787" i="6"/>
  <c r="M787" i="6" s="1"/>
  <c r="K787" i="6"/>
  <c r="J787" i="6"/>
  <c r="I787" i="6"/>
  <c r="O786" i="6"/>
  <c r="N786" i="6"/>
  <c r="L786" i="6"/>
  <c r="M786" i="6" s="1"/>
  <c r="K786" i="6"/>
  <c r="J786" i="6"/>
  <c r="I786" i="6"/>
  <c r="O785" i="6"/>
  <c r="N785" i="6"/>
  <c r="L785" i="6"/>
  <c r="M785" i="6" s="1"/>
  <c r="K785" i="6"/>
  <c r="J785" i="6"/>
  <c r="I785" i="6"/>
  <c r="O784" i="6"/>
  <c r="N784" i="6"/>
  <c r="L784" i="6"/>
  <c r="M784" i="6" s="1"/>
  <c r="K784" i="6"/>
  <c r="J784" i="6"/>
  <c r="I784" i="6"/>
  <c r="O783" i="6"/>
  <c r="N783" i="6"/>
  <c r="L783" i="6"/>
  <c r="M783" i="6" s="1"/>
  <c r="K783" i="6"/>
  <c r="J783" i="6"/>
  <c r="I783" i="6"/>
  <c r="O782" i="6"/>
  <c r="N782" i="6"/>
  <c r="L782" i="6"/>
  <c r="M782" i="6" s="1"/>
  <c r="K782" i="6"/>
  <c r="J782" i="6"/>
  <c r="I782" i="6"/>
  <c r="O781" i="6"/>
  <c r="N781" i="6"/>
  <c r="L781" i="6"/>
  <c r="M781" i="6" s="1"/>
  <c r="K781" i="6"/>
  <c r="J781" i="6"/>
  <c r="I781" i="6"/>
  <c r="O780" i="6"/>
  <c r="N780" i="6"/>
  <c r="L780" i="6"/>
  <c r="M780" i="6" s="1"/>
  <c r="K780" i="6"/>
  <c r="J780" i="6"/>
  <c r="I780" i="6"/>
  <c r="O779" i="6"/>
  <c r="N779" i="6"/>
  <c r="L779" i="6"/>
  <c r="M779" i="6" s="1"/>
  <c r="K779" i="6"/>
  <c r="J779" i="6"/>
  <c r="I779" i="6"/>
  <c r="O778" i="6"/>
  <c r="N778" i="6"/>
  <c r="L778" i="6"/>
  <c r="M778" i="6" s="1"/>
  <c r="K778" i="6"/>
  <c r="J778" i="6"/>
  <c r="I778" i="6"/>
  <c r="O777" i="6"/>
  <c r="N777" i="6"/>
  <c r="L777" i="6"/>
  <c r="M777" i="6" s="1"/>
  <c r="K777" i="6"/>
  <c r="J777" i="6"/>
  <c r="I777" i="6"/>
  <c r="O776" i="6"/>
  <c r="N776" i="6"/>
  <c r="L776" i="6"/>
  <c r="M776" i="6" s="1"/>
  <c r="K776" i="6"/>
  <c r="J776" i="6"/>
  <c r="I776" i="6"/>
  <c r="O775" i="6"/>
  <c r="N775" i="6"/>
  <c r="L775" i="6"/>
  <c r="M775" i="6" s="1"/>
  <c r="K775" i="6"/>
  <c r="J775" i="6"/>
  <c r="I775" i="6"/>
  <c r="O774" i="6"/>
  <c r="N774" i="6"/>
  <c r="L774" i="6"/>
  <c r="M774" i="6" s="1"/>
  <c r="K774" i="6"/>
  <c r="J774" i="6"/>
  <c r="I774" i="6"/>
  <c r="O773" i="6"/>
  <c r="N773" i="6"/>
  <c r="L773" i="6"/>
  <c r="M773" i="6" s="1"/>
  <c r="K773" i="6"/>
  <c r="J773" i="6"/>
  <c r="I773" i="6"/>
  <c r="O772" i="6"/>
  <c r="N772" i="6"/>
  <c r="L772" i="6"/>
  <c r="M772" i="6" s="1"/>
  <c r="K772" i="6"/>
  <c r="J772" i="6"/>
  <c r="I772" i="6"/>
  <c r="O771" i="6"/>
  <c r="N771" i="6"/>
  <c r="L771" i="6"/>
  <c r="M771" i="6" s="1"/>
  <c r="K771" i="6"/>
  <c r="J771" i="6"/>
  <c r="I771" i="6"/>
  <c r="O770" i="6"/>
  <c r="N770" i="6"/>
  <c r="L770" i="6"/>
  <c r="M770" i="6" s="1"/>
  <c r="K770" i="6"/>
  <c r="J770" i="6"/>
  <c r="I770" i="6"/>
  <c r="O769" i="6"/>
  <c r="N769" i="6"/>
  <c r="L769" i="6"/>
  <c r="M769" i="6" s="1"/>
  <c r="K769" i="6"/>
  <c r="J769" i="6"/>
  <c r="I769" i="6"/>
  <c r="O768" i="6"/>
  <c r="N768" i="6"/>
  <c r="L768" i="6"/>
  <c r="M768" i="6" s="1"/>
  <c r="K768" i="6"/>
  <c r="J768" i="6"/>
  <c r="I768" i="6"/>
  <c r="O767" i="6"/>
  <c r="N767" i="6"/>
  <c r="L767" i="6"/>
  <c r="M767" i="6" s="1"/>
  <c r="K767" i="6"/>
  <c r="J767" i="6"/>
  <c r="I767" i="6"/>
  <c r="O766" i="6"/>
  <c r="N766" i="6"/>
  <c r="L766" i="6"/>
  <c r="M766" i="6" s="1"/>
  <c r="K766" i="6"/>
  <c r="J766" i="6"/>
  <c r="I766" i="6"/>
  <c r="O765" i="6"/>
  <c r="N765" i="6"/>
  <c r="L765" i="6"/>
  <c r="M765" i="6" s="1"/>
  <c r="K765" i="6"/>
  <c r="J765" i="6"/>
  <c r="I765" i="6"/>
  <c r="O764" i="6"/>
  <c r="N764" i="6"/>
  <c r="L764" i="6"/>
  <c r="M764" i="6" s="1"/>
  <c r="K764" i="6"/>
  <c r="J764" i="6"/>
  <c r="I764" i="6"/>
  <c r="O763" i="6"/>
  <c r="N763" i="6"/>
  <c r="L763" i="6"/>
  <c r="M763" i="6" s="1"/>
  <c r="K763" i="6"/>
  <c r="J763" i="6"/>
  <c r="I763" i="6"/>
  <c r="O762" i="6"/>
  <c r="N762" i="6"/>
  <c r="L762" i="6"/>
  <c r="M762" i="6" s="1"/>
  <c r="K762" i="6"/>
  <c r="J762" i="6"/>
  <c r="I762" i="6"/>
  <c r="O761" i="6"/>
  <c r="N761" i="6"/>
  <c r="L761" i="6"/>
  <c r="M761" i="6" s="1"/>
  <c r="K761" i="6"/>
  <c r="J761" i="6"/>
  <c r="I761" i="6"/>
  <c r="O760" i="6"/>
  <c r="N760" i="6"/>
  <c r="L760" i="6"/>
  <c r="M760" i="6" s="1"/>
  <c r="K760" i="6"/>
  <c r="J760" i="6"/>
  <c r="I760" i="6"/>
  <c r="O759" i="6"/>
  <c r="N759" i="6"/>
  <c r="L759" i="6"/>
  <c r="M759" i="6" s="1"/>
  <c r="K759" i="6"/>
  <c r="J759" i="6"/>
  <c r="I759" i="6"/>
  <c r="O758" i="6"/>
  <c r="N758" i="6"/>
  <c r="L758" i="6"/>
  <c r="M758" i="6" s="1"/>
  <c r="K758" i="6"/>
  <c r="J758" i="6"/>
  <c r="I758" i="6"/>
  <c r="O757" i="6"/>
  <c r="N757" i="6"/>
  <c r="L757" i="6"/>
  <c r="M757" i="6" s="1"/>
  <c r="K757" i="6"/>
  <c r="J757" i="6"/>
  <c r="I757" i="6"/>
  <c r="O756" i="6"/>
  <c r="N756" i="6"/>
  <c r="L756" i="6"/>
  <c r="M756" i="6" s="1"/>
  <c r="K756" i="6"/>
  <c r="J756" i="6"/>
  <c r="I756" i="6"/>
  <c r="O755" i="6"/>
  <c r="N755" i="6"/>
  <c r="L755" i="6"/>
  <c r="M755" i="6" s="1"/>
  <c r="K755" i="6"/>
  <c r="J755" i="6"/>
  <c r="I755" i="6"/>
  <c r="O754" i="6"/>
  <c r="N754" i="6"/>
  <c r="L754" i="6"/>
  <c r="M754" i="6" s="1"/>
  <c r="K754" i="6"/>
  <c r="J754" i="6"/>
  <c r="I754" i="6"/>
  <c r="O753" i="6"/>
  <c r="N753" i="6"/>
  <c r="L753" i="6"/>
  <c r="M753" i="6" s="1"/>
  <c r="K753" i="6"/>
  <c r="J753" i="6"/>
  <c r="I753" i="6"/>
  <c r="O752" i="6"/>
  <c r="N752" i="6"/>
  <c r="L752" i="6"/>
  <c r="M752" i="6" s="1"/>
  <c r="K752" i="6"/>
  <c r="J752" i="6"/>
  <c r="I752" i="6"/>
  <c r="O751" i="6"/>
  <c r="N751" i="6"/>
  <c r="L751" i="6"/>
  <c r="M751" i="6" s="1"/>
  <c r="K751" i="6"/>
  <c r="J751" i="6"/>
  <c r="I751" i="6"/>
  <c r="O750" i="6"/>
  <c r="N750" i="6"/>
  <c r="L750" i="6"/>
  <c r="M750" i="6" s="1"/>
  <c r="K750" i="6"/>
  <c r="J750" i="6"/>
  <c r="I750" i="6"/>
  <c r="O749" i="6"/>
  <c r="N749" i="6"/>
  <c r="L749" i="6"/>
  <c r="M749" i="6" s="1"/>
  <c r="K749" i="6"/>
  <c r="J749" i="6"/>
  <c r="I749" i="6"/>
  <c r="O748" i="6"/>
  <c r="N748" i="6"/>
  <c r="L748" i="6"/>
  <c r="M748" i="6" s="1"/>
  <c r="K748" i="6"/>
  <c r="J748" i="6"/>
  <c r="I748" i="6"/>
  <c r="O747" i="6"/>
  <c r="N747" i="6"/>
  <c r="L747" i="6"/>
  <c r="M747" i="6" s="1"/>
  <c r="K747" i="6"/>
  <c r="J747" i="6"/>
  <c r="I747" i="6"/>
  <c r="O746" i="6"/>
  <c r="N746" i="6"/>
  <c r="L746" i="6"/>
  <c r="M746" i="6" s="1"/>
  <c r="K746" i="6"/>
  <c r="J746" i="6"/>
  <c r="I746" i="6"/>
  <c r="O745" i="6"/>
  <c r="N745" i="6"/>
  <c r="L745" i="6"/>
  <c r="M745" i="6" s="1"/>
  <c r="K745" i="6"/>
  <c r="J745" i="6"/>
  <c r="I745" i="6"/>
  <c r="O744" i="6"/>
  <c r="N744" i="6"/>
  <c r="L744" i="6"/>
  <c r="M744" i="6" s="1"/>
  <c r="K744" i="6"/>
  <c r="J744" i="6"/>
  <c r="I744" i="6"/>
  <c r="O743" i="6"/>
  <c r="N743" i="6"/>
  <c r="L743" i="6"/>
  <c r="M743" i="6" s="1"/>
  <c r="K743" i="6"/>
  <c r="J743" i="6"/>
  <c r="I743" i="6"/>
  <c r="O742" i="6"/>
  <c r="N742" i="6"/>
  <c r="L742" i="6"/>
  <c r="M742" i="6" s="1"/>
  <c r="K742" i="6"/>
  <c r="J742" i="6"/>
  <c r="I742" i="6"/>
  <c r="O741" i="6"/>
  <c r="N741" i="6"/>
  <c r="L741" i="6"/>
  <c r="M741" i="6" s="1"/>
  <c r="K741" i="6"/>
  <c r="J741" i="6"/>
  <c r="I741" i="6"/>
  <c r="O740" i="6"/>
  <c r="N740" i="6"/>
  <c r="L740" i="6"/>
  <c r="M740" i="6" s="1"/>
  <c r="K740" i="6"/>
  <c r="J740" i="6"/>
  <c r="I740" i="6"/>
  <c r="O739" i="6"/>
  <c r="N739" i="6"/>
  <c r="L739" i="6"/>
  <c r="M739" i="6" s="1"/>
  <c r="K739" i="6"/>
  <c r="J739" i="6"/>
  <c r="I739" i="6"/>
  <c r="O738" i="6"/>
  <c r="N738" i="6"/>
  <c r="L738" i="6"/>
  <c r="M738" i="6" s="1"/>
  <c r="K738" i="6"/>
  <c r="J738" i="6"/>
  <c r="I738" i="6"/>
  <c r="O737" i="6"/>
  <c r="N737" i="6"/>
  <c r="L737" i="6"/>
  <c r="M737" i="6" s="1"/>
  <c r="K737" i="6"/>
  <c r="J737" i="6"/>
  <c r="I737" i="6"/>
  <c r="O736" i="6"/>
  <c r="N736" i="6"/>
  <c r="L736" i="6"/>
  <c r="M736" i="6" s="1"/>
  <c r="K736" i="6"/>
  <c r="J736" i="6"/>
  <c r="I736" i="6"/>
  <c r="O735" i="6"/>
  <c r="N735" i="6"/>
  <c r="L735" i="6"/>
  <c r="M735" i="6" s="1"/>
  <c r="K735" i="6"/>
  <c r="J735" i="6"/>
  <c r="I735" i="6"/>
  <c r="O734" i="6"/>
  <c r="N734" i="6"/>
  <c r="L734" i="6"/>
  <c r="M734" i="6" s="1"/>
  <c r="K734" i="6"/>
  <c r="J734" i="6"/>
  <c r="I734" i="6"/>
  <c r="O733" i="6"/>
  <c r="N733" i="6"/>
  <c r="L733" i="6"/>
  <c r="M733" i="6" s="1"/>
  <c r="K733" i="6"/>
  <c r="J733" i="6"/>
  <c r="I733" i="6"/>
  <c r="O732" i="6"/>
  <c r="N732" i="6"/>
  <c r="L732" i="6"/>
  <c r="M732" i="6" s="1"/>
  <c r="K732" i="6"/>
  <c r="J732" i="6"/>
  <c r="I732" i="6"/>
  <c r="O731" i="6"/>
  <c r="N731" i="6"/>
  <c r="L731" i="6"/>
  <c r="M731" i="6" s="1"/>
  <c r="K731" i="6"/>
  <c r="J731" i="6"/>
  <c r="I731" i="6"/>
  <c r="O730" i="6"/>
  <c r="N730" i="6"/>
  <c r="L730" i="6"/>
  <c r="M730" i="6" s="1"/>
  <c r="K730" i="6"/>
  <c r="J730" i="6"/>
  <c r="I730" i="6"/>
  <c r="O729" i="6"/>
  <c r="N729" i="6"/>
  <c r="L729" i="6"/>
  <c r="M729" i="6" s="1"/>
  <c r="K729" i="6"/>
  <c r="J729" i="6"/>
  <c r="I729" i="6"/>
  <c r="O728" i="6"/>
  <c r="N728" i="6"/>
  <c r="L728" i="6"/>
  <c r="M728" i="6" s="1"/>
  <c r="K728" i="6"/>
  <c r="J728" i="6"/>
  <c r="I728" i="6"/>
  <c r="O727" i="6"/>
  <c r="N727" i="6"/>
  <c r="L727" i="6"/>
  <c r="M727" i="6" s="1"/>
  <c r="K727" i="6"/>
  <c r="J727" i="6"/>
  <c r="I727" i="6"/>
  <c r="O726" i="6"/>
  <c r="N726" i="6"/>
  <c r="L726" i="6"/>
  <c r="M726" i="6" s="1"/>
  <c r="K726" i="6"/>
  <c r="J726" i="6"/>
  <c r="I726" i="6"/>
  <c r="O725" i="6"/>
  <c r="N725" i="6"/>
  <c r="L725" i="6"/>
  <c r="M725" i="6" s="1"/>
  <c r="K725" i="6"/>
  <c r="J725" i="6"/>
  <c r="I725" i="6"/>
  <c r="O724" i="6"/>
  <c r="N724" i="6"/>
  <c r="L724" i="6"/>
  <c r="M724" i="6" s="1"/>
  <c r="K724" i="6"/>
  <c r="J724" i="6"/>
  <c r="I724" i="6"/>
  <c r="O723" i="6"/>
  <c r="N723" i="6"/>
  <c r="L723" i="6"/>
  <c r="M723" i="6" s="1"/>
  <c r="K723" i="6"/>
  <c r="J723" i="6"/>
  <c r="I723" i="6"/>
  <c r="O722" i="6"/>
  <c r="N722" i="6"/>
  <c r="L722" i="6"/>
  <c r="M722" i="6" s="1"/>
  <c r="K722" i="6"/>
  <c r="J722" i="6"/>
  <c r="I722" i="6"/>
  <c r="O721" i="6"/>
  <c r="N721" i="6"/>
  <c r="L721" i="6"/>
  <c r="M721" i="6" s="1"/>
  <c r="K721" i="6"/>
  <c r="J721" i="6"/>
  <c r="I721" i="6"/>
  <c r="O720" i="6"/>
  <c r="N720" i="6"/>
  <c r="L720" i="6"/>
  <c r="M720" i="6" s="1"/>
  <c r="K720" i="6"/>
  <c r="J720" i="6"/>
  <c r="I720" i="6"/>
  <c r="O719" i="6"/>
  <c r="N719" i="6"/>
  <c r="L719" i="6"/>
  <c r="M719" i="6" s="1"/>
  <c r="K719" i="6"/>
  <c r="J719" i="6"/>
  <c r="I719" i="6"/>
  <c r="O718" i="6"/>
  <c r="N718" i="6"/>
  <c r="L718" i="6"/>
  <c r="M718" i="6" s="1"/>
  <c r="K718" i="6"/>
  <c r="J718" i="6"/>
  <c r="I718" i="6"/>
  <c r="O717" i="6"/>
  <c r="N717" i="6"/>
  <c r="L717" i="6"/>
  <c r="M717" i="6" s="1"/>
  <c r="K717" i="6"/>
  <c r="J717" i="6"/>
  <c r="I717" i="6"/>
  <c r="O716" i="6"/>
  <c r="N716" i="6"/>
  <c r="L716" i="6"/>
  <c r="M716" i="6" s="1"/>
  <c r="K716" i="6"/>
  <c r="J716" i="6"/>
  <c r="I716" i="6"/>
  <c r="O715" i="6"/>
  <c r="N715" i="6"/>
  <c r="L715" i="6"/>
  <c r="M715" i="6" s="1"/>
  <c r="K715" i="6"/>
  <c r="J715" i="6"/>
  <c r="I715" i="6"/>
  <c r="O714" i="6"/>
  <c r="N714" i="6"/>
  <c r="L714" i="6"/>
  <c r="M714" i="6" s="1"/>
  <c r="K714" i="6"/>
  <c r="J714" i="6"/>
  <c r="I714" i="6"/>
  <c r="O713" i="6"/>
  <c r="N713" i="6"/>
  <c r="L713" i="6"/>
  <c r="M713" i="6" s="1"/>
  <c r="K713" i="6"/>
  <c r="J713" i="6"/>
  <c r="I713" i="6"/>
  <c r="O712" i="6"/>
  <c r="N712" i="6"/>
  <c r="L712" i="6"/>
  <c r="M712" i="6" s="1"/>
  <c r="K712" i="6"/>
  <c r="J712" i="6"/>
  <c r="I712" i="6"/>
  <c r="O711" i="6"/>
  <c r="N711" i="6"/>
  <c r="L711" i="6"/>
  <c r="M711" i="6" s="1"/>
  <c r="K711" i="6"/>
  <c r="J711" i="6"/>
  <c r="I711" i="6"/>
  <c r="O710" i="6"/>
  <c r="N710" i="6"/>
  <c r="L710" i="6"/>
  <c r="M710" i="6" s="1"/>
  <c r="K710" i="6"/>
  <c r="J710" i="6"/>
  <c r="I710" i="6"/>
  <c r="O709" i="6"/>
  <c r="N709" i="6"/>
  <c r="L709" i="6"/>
  <c r="M709" i="6" s="1"/>
  <c r="K709" i="6"/>
  <c r="J709" i="6"/>
  <c r="I709" i="6"/>
  <c r="O708" i="6"/>
  <c r="N708" i="6"/>
  <c r="L708" i="6"/>
  <c r="M708" i="6" s="1"/>
  <c r="K708" i="6"/>
  <c r="J708" i="6"/>
  <c r="I708" i="6"/>
  <c r="O707" i="6"/>
  <c r="N707" i="6"/>
  <c r="L707" i="6"/>
  <c r="M707" i="6" s="1"/>
  <c r="K707" i="6"/>
  <c r="J707" i="6"/>
  <c r="I707" i="6"/>
  <c r="O706" i="6"/>
  <c r="N706" i="6"/>
  <c r="L706" i="6"/>
  <c r="M706" i="6" s="1"/>
  <c r="K706" i="6"/>
  <c r="J706" i="6"/>
  <c r="I706" i="6"/>
  <c r="O705" i="6"/>
  <c r="N705" i="6"/>
  <c r="L705" i="6"/>
  <c r="M705" i="6" s="1"/>
  <c r="K705" i="6"/>
  <c r="J705" i="6"/>
  <c r="I705" i="6"/>
  <c r="O704" i="6"/>
  <c r="N704" i="6"/>
  <c r="L704" i="6"/>
  <c r="M704" i="6" s="1"/>
  <c r="K704" i="6"/>
  <c r="J704" i="6"/>
  <c r="I704" i="6"/>
  <c r="O703" i="6"/>
  <c r="N703" i="6"/>
  <c r="L703" i="6"/>
  <c r="M703" i="6" s="1"/>
  <c r="K703" i="6"/>
  <c r="J703" i="6"/>
  <c r="I703" i="6"/>
  <c r="O702" i="6"/>
  <c r="N702" i="6"/>
  <c r="L702" i="6"/>
  <c r="M702" i="6" s="1"/>
  <c r="K702" i="6"/>
  <c r="J702" i="6"/>
  <c r="I702" i="6"/>
  <c r="O701" i="6"/>
  <c r="N701" i="6"/>
  <c r="L701" i="6"/>
  <c r="M701" i="6" s="1"/>
  <c r="K701" i="6"/>
  <c r="J701" i="6"/>
  <c r="I701" i="6"/>
  <c r="O700" i="6"/>
  <c r="N700" i="6"/>
  <c r="L700" i="6"/>
  <c r="M700" i="6" s="1"/>
  <c r="K700" i="6"/>
  <c r="J700" i="6"/>
  <c r="I700" i="6"/>
  <c r="O699" i="6"/>
  <c r="N699" i="6"/>
  <c r="L699" i="6"/>
  <c r="M699" i="6" s="1"/>
  <c r="K699" i="6"/>
  <c r="J699" i="6"/>
  <c r="I699" i="6"/>
  <c r="O698" i="6"/>
  <c r="N698" i="6"/>
  <c r="L698" i="6"/>
  <c r="M698" i="6" s="1"/>
  <c r="K698" i="6"/>
  <c r="J698" i="6"/>
  <c r="I698" i="6"/>
  <c r="O697" i="6"/>
  <c r="N697" i="6"/>
  <c r="L697" i="6"/>
  <c r="M697" i="6" s="1"/>
  <c r="K697" i="6"/>
  <c r="J697" i="6"/>
  <c r="I697" i="6"/>
  <c r="O696" i="6"/>
  <c r="N696" i="6"/>
  <c r="L696" i="6"/>
  <c r="M696" i="6" s="1"/>
  <c r="K696" i="6"/>
  <c r="J696" i="6"/>
  <c r="I696" i="6"/>
  <c r="O695" i="6"/>
  <c r="N695" i="6"/>
  <c r="L695" i="6"/>
  <c r="M695" i="6" s="1"/>
  <c r="K695" i="6"/>
  <c r="J695" i="6"/>
  <c r="I695" i="6"/>
  <c r="O694" i="6"/>
  <c r="N694" i="6"/>
  <c r="L694" i="6"/>
  <c r="M694" i="6" s="1"/>
  <c r="K694" i="6"/>
  <c r="J694" i="6"/>
  <c r="I694" i="6"/>
  <c r="O693" i="6"/>
  <c r="N693" i="6"/>
  <c r="L693" i="6"/>
  <c r="M693" i="6" s="1"/>
  <c r="K693" i="6"/>
  <c r="J693" i="6"/>
  <c r="I693" i="6"/>
  <c r="O692" i="6"/>
  <c r="N692" i="6"/>
  <c r="L692" i="6"/>
  <c r="M692" i="6" s="1"/>
  <c r="K692" i="6"/>
  <c r="J692" i="6"/>
  <c r="I692" i="6"/>
  <c r="O691" i="6"/>
  <c r="N691" i="6"/>
  <c r="L691" i="6"/>
  <c r="M691" i="6" s="1"/>
  <c r="K691" i="6"/>
  <c r="J691" i="6"/>
  <c r="I691" i="6"/>
  <c r="O690" i="6"/>
  <c r="N690" i="6"/>
  <c r="L690" i="6"/>
  <c r="M690" i="6" s="1"/>
  <c r="K690" i="6"/>
  <c r="J690" i="6"/>
  <c r="I690" i="6"/>
  <c r="O689" i="6"/>
  <c r="N689" i="6"/>
  <c r="L689" i="6"/>
  <c r="M689" i="6" s="1"/>
  <c r="K689" i="6"/>
  <c r="J689" i="6"/>
  <c r="I689" i="6"/>
  <c r="O688" i="6"/>
  <c r="N688" i="6"/>
  <c r="L688" i="6"/>
  <c r="M688" i="6" s="1"/>
  <c r="K688" i="6"/>
  <c r="J688" i="6"/>
  <c r="I688" i="6"/>
  <c r="O687" i="6"/>
  <c r="N687" i="6"/>
  <c r="L687" i="6"/>
  <c r="M687" i="6" s="1"/>
  <c r="K687" i="6"/>
  <c r="J687" i="6"/>
  <c r="I687" i="6"/>
  <c r="O686" i="6"/>
  <c r="N686" i="6"/>
  <c r="L686" i="6"/>
  <c r="M686" i="6" s="1"/>
  <c r="K686" i="6"/>
  <c r="J686" i="6"/>
  <c r="I686" i="6"/>
  <c r="O685" i="6"/>
  <c r="N685" i="6"/>
  <c r="L685" i="6"/>
  <c r="M685" i="6" s="1"/>
  <c r="K685" i="6"/>
  <c r="J685" i="6"/>
  <c r="I685" i="6"/>
  <c r="O684" i="6"/>
  <c r="N684" i="6"/>
  <c r="L684" i="6"/>
  <c r="M684" i="6" s="1"/>
  <c r="K684" i="6"/>
  <c r="J684" i="6"/>
  <c r="I684" i="6"/>
  <c r="O683" i="6"/>
  <c r="N683" i="6"/>
  <c r="L683" i="6"/>
  <c r="M683" i="6" s="1"/>
  <c r="K683" i="6"/>
  <c r="J683" i="6"/>
  <c r="I683" i="6"/>
  <c r="O682" i="6"/>
  <c r="N682" i="6"/>
  <c r="L682" i="6"/>
  <c r="M682" i="6" s="1"/>
  <c r="K682" i="6"/>
  <c r="J682" i="6"/>
  <c r="I682" i="6"/>
  <c r="O681" i="6"/>
  <c r="N681" i="6"/>
  <c r="L681" i="6"/>
  <c r="M681" i="6" s="1"/>
  <c r="K681" i="6"/>
  <c r="J681" i="6"/>
  <c r="I681" i="6"/>
  <c r="O680" i="6"/>
  <c r="N680" i="6"/>
  <c r="L680" i="6"/>
  <c r="M680" i="6" s="1"/>
  <c r="K680" i="6"/>
  <c r="J680" i="6"/>
  <c r="I680" i="6"/>
  <c r="O679" i="6"/>
  <c r="N679" i="6"/>
  <c r="L679" i="6"/>
  <c r="M679" i="6" s="1"/>
  <c r="K679" i="6"/>
  <c r="J679" i="6"/>
  <c r="I679" i="6"/>
  <c r="O678" i="6"/>
  <c r="N678" i="6"/>
  <c r="L678" i="6"/>
  <c r="M678" i="6" s="1"/>
  <c r="K678" i="6"/>
  <c r="J678" i="6"/>
  <c r="I678" i="6"/>
  <c r="O677" i="6"/>
  <c r="N677" i="6"/>
  <c r="L677" i="6"/>
  <c r="M677" i="6" s="1"/>
  <c r="K677" i="6"/>
  <c r="J677" i="6"/>
  <c r="I677" i="6"/>
  <c r="O676" i="6"/>
  <c r="N676" i="6"/>
  <c r="L676" i="6"/>
  <c r="M676" i="6" s="1"/>
  <c r="K676" i="6"/>
  <c r="J676" i="6"/>
  <c r="I676" i="6"/>
  <c r="O675" i="6"/>
  <c r="N675" i="6"/>
  <c r="L675" i="6"/>
  <c r="M675" i="6" s="1"/>
  <c r="K675" i="6"/>
  <c r="J675" i="6"/>
  <c r="I675" i="6"/>
  <c r="O674" i="6"/>
  <c r="N674" i="6"/>
  <c r="L674" i="6"/>
  <c r="M674" i="6" s="1"/>
  <c r="K674" i="6"/>
  <c r="J674" i="6"/>
  <c r="I674" i="6"/>
  <c r="O673" i="6"/>
  <c r="N673" i="6"/>
  <c r="L673" i="6"/>
  <c r="M673" i="6" s="1"/>
  <c r="K673" i="6"/>
  <c r="J673" i="6"/>
  <c r="I673" i="6"/>
  <c r="O672" i="6"/>
  <c r="N672" i="6"/>
  <c r="L672" i="6"/>
  <c r="M672" i="6" s="1"/>
  <c r="K672" i="6"/>
  <c r="J672" i="6"/>
  <c r="I672" i="6"/>
  <c r="O671" i="6"/>
  <c r="N671" i="6"/>
  <c r="L671" i="6"/>
  <c r="M671" i="6" s="1"/>
  <c r="K671" i="6"/>
  <c r="J671" i="6"/>
  <c r="I671" i="6"/>
  <c r="O670" i="6"/>
  <c r="N670" i="6"/>
  <c r="L670" i="6"/>
  <c r="M670" i="6" s="1"/>
  <c r="K670" i="6"/>
  <c r="J670" i="6"/>
  <c r="I670" i="6"/>
  <c r="O669" i="6"/>
  <c r="N669" i="6"/>
  <c r="L669" i="6"/>
  <c r="M669" i="6" s="1"/>
  <c r="K669" i="6"/>
  <c r="J669" i="6"/>
  <c r="I669" i="6"/>
  <c r="O668" i="6"/>
  <c r="N668" i="6"/>
  <c r="L668" i="6"/>
  <c r="M668" i="6" s="1"/>
  <c r="K668" i="6"/>
  <c r="J668" i="6"/>
  <c r="I668" i="6"/>
  <c r="O667" i="6"/>
  <c r="N667" i="6"/>
  <c r="L667" i="6"/>
  <c r="M667" i="6" s="1"/>
  <c r="K667" i="6"/>
  <c r="J667" i="6"/>
  <c r="I667" i="6"/>
  <c r="O666" i="6"/>
  <c r="N666" i="6"/>
  <c r="L666" i="6"/>
  <c r="M666" i="6" s="1"/>
  <c r="K666" i="6"/>
  <c r="J666" i="6"/>
  <c r="I666" i="6"/>
  <c r="O665" i="6"/>
  <c r="N665" i="6"/>
  <c r="L665" i="6"/>
  <c r="M665" i="6" s="1"/>
  <c r="K665" i="6"/>
  <c r="J665" i="6"/>
  <c r="I665" i="6"/>
  <c r="O664" i="6"/>
  <c r="N664" i="6"/>
  <c r="L664" i="6"/>
  <c r="M664" i="6" s="1"/>
  <c r="K664" i="6"/>
  <c r="J664" i="6"/>
  <c r="I664" i="6"/>
  <c r="O663" i="6"/>
  <c r="N663" i="6"/>
  <c r="L663" i="6"/>
  <c r="M663" i="6" s="1"/>
  <c r="K663" i="6"/>
  <c r="J663" i="6"/>
  <c r="I663" i="6"/>
  <c r="O662" i="6"/>
  <c r="N662" i="6"/>
  <c r="L662" i="6"/>
  <c r="M662" i="6" s="1"/>
  <c r="K662" i="6"/>
  <c r="J662" i="6"/>
  <c r="I662" i="6"/>
  <c r="O661" i="6"/>
  <c r="N661" i="6"/>
  <c r="L661" i="6"/>
  <c r="M661" i="6" s="1"/>
  <c r="K661" i="6"/>
  <c r="J661" i="6"/>
  <c r="I661" i="6"/>
  <c r="O660" i="6"/>
  <c r="N660" i="6"/>
  <c r="L660" i="6"/>
  <c r="M660" i="6" s="1"/>
  <c r="K660" i="6"/>
  <c r="J660" i="6"/>
  <c r="I660" i="6"/>
  <c r="O659" i="6"/>
  <c r="N659" i="6"/>
  <c r="L659" i="6"/>
  <c r="M659" i="6" s="1"/>
  <c r="K659" i="6"/>
  <c r="J659" i="6"/>
  <c r="I659" i="6"/>
  <c r="O658" i="6"/>
  <c r="N658" i="6"/>
  <c r="L658" i="6"/>
  <c r="M658" i="6" s="1"/>
  <c r="K658" i="6"/>
  <c r="J658" i="6"/>
  <c r="I658" i="6"/>
  <c r="O657" i="6"/>
  <c r="N657" i="6"/>
  <c r="L657" i="6"/>
  <c r="M657" i="6" s="1"/>
  <c r="K657" i="6"/>
  <c r="J657" i="6"/>
  <c r="I657" i="6"/>
  <c r="O656" i="6"/>
  <c r="N656" i="6"/>
  <c r="L656" i="6"/>
  <c r="M656" i="6" s="1"/>
  <c r="K656" i="6"/>
  <c r="J656" i="6"/>
  <c r="I656" i="6"/>
  <c r="O655" i="6"/>
  <c r="N655" i="6"/>
  <c r="L655" i="6"/>
  <c r="M655" i="6" s="1"/>
  <c r="K655" i="6"/>
  <c r="J655" i="6"/>
  <c r="I655" i="6"/>
  <c r="O654" i="6"/>
  <c r="N654" i="6"/>
  <c r="L654" i="6"/>
  <c r="M654" i="6" s="1"/>
  <c r="K654" i="6"/>
  <c r="J654" i="6"/>
  <c r="I654" i="6"/>
  <c r="O653" i="6"/>
  <c r="N653" i="6"/>
  <c r="L653" i="6"/>
  <c r="M653" i="6" s="1"/>
  <c r="K653" i="6"/>
  <c r="J653" i="6"/>
  <c r="I653" i="6"/>
  <c r="O652" i="6"/>
  <c r="N652" i="6"/>
  <c r="L652" i="6"/>
  <c r="M652" i="6" s="1"/>
  <c r="K652" i="6"/>
  <c r="J652" i="6"/>
  <c r="I652" i="6"/>
  <c r="O651" i="6"/>
  <c r="N651" i="6"/>
  <c r="L651" i="6"/>
  <c r="M651" i="6" s="1"/>
  <c r="K651" i="6"/>
  <c r="J651" i="6"/>
  <c r="I651" i="6"/>
  <c r="O650" i="6"/>
  <c r="N650" i="6"/>
  <c r="L650" i="6"/>
  <c r="M650" i="6" s="1"/>
  <c r="K650" i="6"/>
  <c r="J650" i="6"/>
  <c r="I650" i="6"/>
  <c r="O649" i="6"/>
  <c r="N649" i="6"/>
  <c r="L649" i="6"/>
  <c r="M649" i="6" s="1"/>
  <c r="K649" i="6"/>
  <c r="J649" i="6"/>
  <c r="I649" i="6"/>
  <c r="O648" i="6"/>
  <c r="N648" i="6"/>
  <c r="L648" i="6"/>
  <c r="M648" i="6" s="1"/>
  <c r="K648" i="6"/>
  <c r="J648" i="6"/>
  <c r="I648" i="6"/>
  <c r="O647" i="6"/>
  <c r="N647" i="6"/>
  <c r="L647" i="6"/>
  <c r="M647" i="6" s="1"/>
  <c r="K647" i="6"/>
  <c r="J647" i="6"/>
  <c r="I647" i="6"/>
  <c r="O646" i="6"/>
  <c r="N646" i="6"/>
  <c r="L646" i="6"/>
  <c r="M646" i="6" s="1"/>
  <c r="K646" i="6"/>
  <c r="J646" i="6"/>
  <c r="I646" i="6"/>
  <c r="O645" i="6"/>
  <c r="N645" i="6"/>
  <c r="L645" i="6"/>
  <c r="M645" i="6" s="1"/>
  <c r="K645" i="6"/>
  <c r="J645" i="6"/>
  <c r="I645" i="6"/>
  <c r="O644" i="6"/>
  <c r="N644" i="6"/>
  <c r="L644" i="6"/>
  <c r="M644" i="6" s="1"/>
  <c r="K644" i="6"/>
  <c r="J644" i="6"/>
  <c r="I644" i="6"/>
  <c r="O643" i="6"/>
  <c r="N643" i="6"/>
  <c r="L643" i="6"/>
  <c r="M643" i="6" s="1"/>
  <c r="K643" i="6"/>
  <c r="J643" i="6"/>
  <c r="I643" i="6"/>
  <c r="O642" i="6"/>
  <c r="N642" i="6"/>
  <c r="L642" i="6"/>
  <c r="M642" i="6" s="1"/>
  <c r="K642" i="6"/>
  <c r="J642" i="6"/>
  <c r="I642" i="6"/>
  <c r="O641" i="6"/>
  <c r="N641" i="6"/>
  <c r="L641" i="6"/>
  <c r="M641" i="6" s="1"/>
  <c r="K641" i="6"/>
  <c r="J641" i="6"/>
  <c r="I641" i="6"/>
  <c r="O640" i="6"/>
  <c r="N640" i="6"/>
  <c r="L640" i="6"/>
  <c r="M640" i="6" s="1"/>
  <c r="K640" i="6"/>
  <c r="J640" i="6"/>
  <c r="I640" i="6"/>
  <c r="O639" i="6"/>
  <c r="N639" i="6"/>
  <c r="L639" i="6"/>
  <c r="M639" i="6" s="1"/>
  <c r="K639" i="6"/>
  <c r="J639" i="6"/>
  <c r="I639" i="6"/>
  <c r="O638" i="6"/>
  <c r="N638" i="6"/>
  <c r="L638" i="6"/>
  <c r="M638" i="6" s="1"/>
  <c r="K638" i="6"/>
  <c r="J638" i="6"/>
  <c r="I638" i="6"/>
  <c r="O637" i="6"/>
  <c r="N637" i="6"/>
  <c r="L637" i="6"/>
  <c r="M637" i="6" s="1"/>
  <c r="K637" i="6"/>
  <c r="J637" i="6"/>
  <c r="I637" i="6"/>
  <c r="O636" i="6"/>
  <c r="N636" i="6"/>
  <c r="L636" i="6"/>
  <c r="M636" i="6" s="1"/>
  <c r="K636" i="6"/>
  <c r="J636" i="6"/>
  <c r="I636" i="6"/>
  <c r="O635" i="6"/>
  <c r="N635" i="6"/>
  <c r="L635" i="6"/>
  <c r="M635" i="6" s="1"/>
  <c r="K635" i="6"/>
  <c r="J635" i="6"/>
  <c r="I635" i="6"/>
  <c r="O634" i="6"/>
  <c r="N634" i="6"/>
  <c r="L634" i="6"/>
  <c r="M634" i="6" s="1"/>
  <c r="K634" i="6"/>
  <c r="J634" i="6"/>
  <c r="I634" i="6"/>
  <c r="O633" i="6"/>
  <c r="N633" i="6"/>
  <c r="L633" i="6"/>
  <c r="M633" i="6" s="1"/>
  <c r="K633" i="6"/>
  <c r="J633" i="6"/>
  <c r="I633" i="6"/>
  <c r="O632" i="6"/>
  <c r="N632" i="6"/>
  <c r="L632" i="6"/>
  <c r="M632" i="6" s="1"/>
  <c r="K632" i="6"/>
  <c r="J632" i="6"/>
  <c r="I632" i="6"/>
  <c r="O631" i="6"/>
  <c r="N631" i="6"/>
  <c r="L631" i="6"/>
  <c r="M631" i="6" s="1"/>
  <c r="K631" i="6"/>
  <c r="J631" i="6"/>
  <c r="I631" i="6"/>
  <c r="O630" i="6"/>
  <c r="N630" i="6"/>
  <c r="L630" i="6"/>
  <c r="M630" i="6" s="1"/>
  <c r="K630" i="6"/>
  <c r="J630" i="6"/>
  <c r="I630" i="6"/>
  <c r="O629" i="6"/>
  <c r="N629" i="6"/>
  <c r="L629" i="6"/>
  <c r="M629" i="6" s="1"/>
  <c r="K629" i="6"/>
  <c r="J629" i="6"/>
  <c r="I629" i="6"/>
  <c r="O628" i="6"/>
  <c r="N628" i="6"/>
  <c r="L628" i="6"/>
  <c r="M628" i="6" s="1"/>
  <c r="K628" i="6"/>
  <c r="J628" i="6"/>
  <c r="I628" i="6"/>
  <c r="O627" i="6"/>
  <c r="N627" i="6"/>
  <c r="L627" i="6"/>
  <c r="M627" i="6" s="1"/>
  <c r="K627" i="6"/>
  <c r="J627" i="6"/>
  <c r="I627" i="6"/>
  <c r="O626" i="6"/>
  <c r="N626" i="6"/>
  <c r="L626" i="6"/>
  <c r="M626" i="6" s="1"/>
  <c r="K626" i="6"/>
  <c r="J626" i="6"/>
  <c r="I626" i="6"/>
  <c r="O625" i="6"/>
  <c r="N625" i="6"/>
  <c r="L625" i="6"/>
  <c r="M625" i="6" s="1"/>
  <c r="K625" i="6"/>
  <c r="J625" i="6"/>
  <c r="I625" i="6"/>
  <c r="O624" i="6"/>
  <c r="N624" i="6"/>
  <c r="L624" i="6"/>
  <c r="M624" i="6" s="1"/>
  <c r="K624" i="6"/>
  <c r="J624" i="6"/>
  <c r="I624" i="6"/>
  <c r="O623" i="6"/>
  <c r="N623" i="6"/>
  <c r="L623" i="6"/>
  <c r="M623" i="6" s="1"/>
  <c r="K623" i="6"/>
  <c r="J623" i="6"/>
  <c r="I623" i="6"/>
  <c r="O622" i="6"/>
  <c r="N622" i="6"/>
  <c r="L622" i="6"/>
  <c r="M622" i="6" s="1"/>
  <c r="K622" i="6"/>
  <c r="J622" i="6"/>
  <c r="I622" i="6"/>
  <c r="O621" i="6"/>
  <c r="N621" i="6"/>
  <c r="L621" i="6"/>
  <c r="M621" i="6" s="1"/>
  <c r="K621" i="6"/>
  <c r="J621" i="6"/>
  <c r="I621" i="6"/>
  <c r="O620" i="6"/>
  <c r="N620" i="6"/>
  <c r="L620" i="6"/>
  <c r="M620" i="6" s="1"/>
  <c r="K620" i="6"/>
  <c r="J620" i="6"/>
  <c r="I620" i="6"/>
  <c r="O619" i="6"/>
  <c r="N619" i="6"/>
  <c r="L619" i="6"/>
  <c r="M619" i="6" s="1"/>
  <c r="K619" i="6"/>
  <c r="J619" i="6"/>
  <c r="I619" i="6"/>
  <c r="O618" i="6"/>
  <c r="N618" i="6"/>
  <c r="L618" i="6"/>
  <c r="M618" i="6" s="1"/>
  <c r="K618" i="6"/>
  <c r="J618" i="6"/>
  <c r="I618" i="6"/>
  <c r="O617" i="6"/>
  <c r="N617" i="6"/>
  <c r="L617" i="6"/>
  <c r="M617" i="6" s="1"/>
  <c r="K617" i="6"/>
  <c r="J617" i="6"/>
  <c r="I617" i="6"/>
  <c r="O616" i="6"/>
  <c r="N616" i="6"/>
  <c r="L616" i="6"/>
  <c r="M616" i="6" s="1"/>
  <c r="K616" i="6"/>
  <c r="J616" i="6"/>
  <c r="I616" i="6"/>
  <c r="O615" i="6"/>
  <c r="N615" i="6"/>
  <c r="L615" i="6"/>
  <c r="M615" i="6" s="1"/>
  <c r="K615" i="6"/>
  <c r="J615" i="6"/>
  <c r="I615" i="6"/>
  <c r="O614" i="6"/>
  <c r="N614" i="6"/>
  <c r="L614" i="6"/>
  <c r="M614" i="6" s="1"/>
  <c r="K614" i="6"/>
  <c r="J614" i="6"/>
  <c r="I614" i="6"/>
  <c r="O613" i="6"/>
  <c r="N613" i="6"/>
  <c r="L613" i="6"/>
  <c r="M613" i="6" s="1"/>
  <c r="K613" i="6"/>
  <c r="J613" i="6"/>
  <c r="I613" i="6"/>
  <c r="O612" i="6"/>
  <c r="N612" i="6"/>
  <c r="L612" i="6"/>
  <c r="M612" i="6" s="1"/>
  <c r="K612" i="6"/>
  <c r="J612" i="6"/>
  <c r="I612" i="6"/>
  <c r="O611" i="6"/>
  <c r="N611" i="6"/>
  <c r="L611" i="6"/>
  <c r="M611" i="6" s="1"/>
  <c r="K611" i="6"/>
  <c r="J611" i="6"/>
  <c r="I611" i="6"/>
  <c r="O610" i="6"/>
  <c r="N610" i="6"/>
  <c r="L610" i="6"/>
  <c r="M610" i="6" s="1"/>
  <c r="K610" i="6"/>
  <c r="J610" i="6"/>
  <c r="I610" i="6"/>
  <c r="O609" i="6"/>
  <c r="N609" i="6"/>
  <c r="L609" i="6"/>
  <c r="M609" i="6" s="1"/>
  <c r="K609" i="6"/>
  <c r="J609" i="6"/>
  <c r="I609" i="6"/>
  <c r="O608" i="6"/>
  <c r="N608" i="6"/>
  <c r="L608" i="6"/>
  <c r="M608" i="6" s="1"/>
  <c r="K608" i="6"/>
  <c r="J608" i="6"/>
  <c r="I608" i="6"/>
  <c r="O607" i="6"/>
  <c r="N607" i="6"/>
  <c r="L607" i="6"/>
  <c r="M607" i="6" s="1"/>
  <c r="K607" i="6"/>
  <c r="J607" i="6"/>
  <c r="I607" i="6"/>
  <c r="O606" i="6"/>
  <c r="N606" i="6"/>
  <c r="L606" i="6"/>
  <c r="M606" i="6" s="1"/>
  <c r="K606" i="6"/>
  <c r="J606" i="6"/>
  <c r="I606" i="6"/>
  <c r="O605" i="6"/>
  <c r="N605" i="6"/>
  <c r="L605" i="6"/>
  <c r="M605" i="6" s="1"/>
  <c r="K605" i="6"/>
  <c r="J605" i="6"/>
  <c r="I605" i="6"/>
  <c r="O604" i="6"/>
  <c r="N604" i="6"/>
  <c r="L604" i="6"/>
  <c r="M604" i="6" s="1"/>
  <c r="K604" i="6"/>
  <c r="J604" i="6"/>
  <c r="I604" i="6"/>
  <c r="O603" i="6"/>
  <c r="N603" i="6"/>
  <c r="L603" i="6"/>
  <c r="M603" i="6" s="1"/>
  <c r="K603" i="6"/>
  <c r="J603" i="6"/>
  <c r="I603" i="6"/>
  <c r="O602" i="6"/>
  <c r="N602" i="6"/>
  <c r="L602" i="6"/>
  <c r="M602" i="6" s="1"/>
  <c r="K602" i="6"/>
  <c r="J602" i="6"/>
  <c r="I602" i="6"/>
  <c r="O601" i="6"/>
  <c r="N601" i="6"/>
  <c r="L601" i="6"/>
  <c r="M601" i="6" s="1"/>
  <c r="K601" i="6"/>
  <c r="J601" i="6"/>
  <c r="I601" i="6"/>
  <c r="O600" i="6"/>
  <c r="N600" i="6"/>
  <c r="L600" i="6"/>
  <c r="M600" i="6" s="1"/>
  <c r="K600" i="6"/>
  <c r="J600" i="6"/>
  <c r="I600" i="6"/>
  <c r="O599" i="6"/>
  <c r="N599" i="6"/>
  <c r="L599" i="6"/>
  <c r="M599" i="6" s="1"/>
  <c r="K599" i="6"/>
  <c r="J599" i="6"/>
  <c r="I599" i="6"/>
  <c r="O598" i="6"/>
  <c r="N598" i="6"/>
  <c r="L598" i="6"/>
  <c r="M598" i="6" s="1"/>
  <c r="K598" i="6"/>
  <c r="J598" i="6"/>
  <c r="I598" i="6"/>
  <c r="O597" i="6"/>
  <c r="N597" i="6"/>
  <c r="L597" i="6"/>
  <c r="M597" i="6" s="1"/>
  <c r="K597" i="6"/>
  <c r="J597" i="6"/>
  <c r="I597" i="6"/>
  <c r="O596" i="6"/>
  <c r="N596" i="6"/>
  <c r="L596" i="6"/>
  <c r="M596" i="6" s="1"/>
  <c r="K596" i="6"/>
  <c r="J596" i="6"/>
  <c r="I596" i="6"/>
  <c r="O595" i="6"/>
  <c r="N595" i="6"/>
  <c r="L595" i="6"/>
  <c r="M595" i="6" s="1"/>
  <c r="K595" i="6"/>
  <c r="J595" i="6"/>
  <c r="I595" i="6"/>
  <c r="O594" i="6"/>
  <c r="N594" i="6"/>
  <c r="L594" i="6"/>
  <c r="M594" i="6" s="1"/>
  <c r="K594" i="6"/>
  <c r="J594" i="6"/>
  <c r="I594" i="6"/>
  <c r="O593" i="6"/>
  <c r="N593" i="6"/>
  <c r="L593" i="6"/>
  <c r="M593" i="6" s="1"/>
  <c r="K593" i="6"/>
  <c r="J593" i="6"/>
  <c r="I593" i="6"/>
  <c r="O592" i="6"/>
  <c r="N592" i="6"/>
  <c r="L592" i="6"/>
  <c r="M592" i="6" s="1"/>
  <c r="K592" i="6"/>
  <c r="J592" i="6"/>
  <c r="I592" i="6"/>
  <c r="O591" i="6"/>
  <c r="N591" i="6"/>
  <c r="L591" i="6"/>
  <c r="M591" i="6" s="1"/>
  <c r="K591" i="6"/>
  <c r="J591" i="6"/>
  <c r="I591" i="6"/>
  <c r="O590" i="6"/>
  <c r="N590" i="6"/>
  <c r="L590" i="6"/>
  <c r="M590" i="6" s="1"/>
  <c r="K590" i="6"/>
  <c r="J590" i="6"/>
  <c r="I590" i="6"/>
  <c r="O589" i="6"/>
  <c r="N589" i="6"/>
  <c r="L589" i="6"/>
  <c r="M589" i="6" s="1"/>
  <c r="K589" i="6"/>
  <c r="J589" i="6"/>
  <c r="I589" i="6"/>
  <c r="O588" i="6"/>
  <c r="N588" i="6"/>
  <c r="L588" i="6"/>
  <c r="M588" i="6" s="1"/>
  <c r="K588" i="6"/>
  <c r="J588" i="6"/>
  <c r="I588" i="6"/>
  <c r="O587" i="6"/>
  <c r="N587" i="6"/>
  <c r="L587" i="6"/>
  <c r="M587" i="6" s="1"/>
  <c r="K587" i="6"/>
  <c r="J587" i="6"/>
  <c r="I587" i="6"/>
  <c r="O586" i="6"/>
  <c r="N586" i="6"/>
  <c r="L586" i="6"/>
  <c r="M586" i="6" s="1"/>
  <c r="K586" i="6"/>
  <c r="J586" i="6"/>
  <c r="I586" i="6"/>
  <c r="O585" i="6"/>
  <c r="N585" i="6"/>
  <c r="L585" i="6"/>
  <c r="M585" i="6" s="1"/>
  <c r="K585" i="6"/>
  <c r="J585" i="6"/>
  <c r="I585" i="6"/>
  <c r="O584" i="6"/>
  <c r="N584" i="6"/>
  <c r="L584" i="6"/>
  <c r="M584" i="6" s="1"/>
  <c r="K584" i="6"/>
  <c r="J584" i="6"/>
  <c r="I584" i="6"/>
  <c r="O583" i="6"/>
  <c r="N583" i="6"/>
  <c r="L583" i="6"/>
  <c r="M583" i="6" s="1"/>
  <c r="K583" i="6"/>
  <c r="J583" i="6"/>
  <c r="I583" i="6"/>
  <c r="O582" i="6"/>
  <c r="N582" i="6"/>
  <c r="L582" i="6"/>
  <c r="M582" i="6" s="1"/>
  <c r="K582" i="6"/>
  <c r="J582" i="6"/>
  <c r="I582" i="6"/>
  <c r="O581" i="6"/>
  <c r="N581" i="6"/>
  <c r="L581" i="6"/>
  <c r="M581" i="6" s="1"/>
  <c r="K581" i="6"/>
  <c r="J581" i="6"/>
  <c r="I581" i="6"/>
  <c r="O580" i="6"/>
  <c r="N580" i="6"/>
  <c r="L580" i="6"/>
  <c r="M580" i="6" s="1"/>
  <c r="K580" i="6"/>
  <c r="J580" i="6"/>
  <c r="I580" i="6"/>
  <c r="O579" i="6"/>
  <c r="N579" i="6"/>
  <c r="L579" i="6"/>
  <c r="M579" i="6" s="1"/>
  <c r="K579" i="6"/>
  <c r="J579" i="6"/>
  <c r="I579" i="6"/>
  <c r="O578" i="6"/>
  <c r="N578" i="6"/>
  <c r="L578" i="6"/>
  <c r="M578" i="6" s="1"/>
  <c r="K578" i="6"/>
  <c r="J578" i="6"/>
  <c r="I578" i="6"/>
  <c r="O577" i="6"/>
  <c r="N577" i="6"/>
  <c r="L577" i="6"/>
  <c r="M577" i="6" s="1"/>
  <c r="K577" i="6"/>
  <c r="J577" i="6"/>
  <c r="I577" i="6"/>
  <c r="O576" i="6"/>
  <c r="N576" i="6"/>
  <c r="L576" i="6"/>
  <c r="M576" i="6" s="1"/>
  <c r="K576" i="6"/>
  <c r="J576" i="6"/>
  <c r="I576" i="6"/>
  <c r="O575" i="6"/>
  <c r="N575" i="6"/>
  <c r="L575" i="6"/>
  <c r="M575" i="6" s="1"/>
  <c r="K575" i="6"/>
  <c r="J575" i="6"/>
  <c r="I575" i="6"/>
  <c r="O574" i="6"/>
  <c r="N574" i="6"/>
  <c r="L574" i="6"/>
  <c r="M574" i="6" s="1"/>
  <c r="K574" i="6"/>
  <c r="J574" i="6"/>
  <c r="I574" i="6"/>
  <c r="O573" i="6"/>
  <c r="N573" i="6"/>
  <c r="L573" i="6"/>
  <c r="M573" i="6" s="1"/>
  <c r="K573" i="6"/>
  <c r="J573" i="6"/>
  <c r="I573" i="6"/>
  <c r="O572" i="6"/>
  <c r="N572" i="6"/>
  <c r="L572" i="6"/>
  <c r="M572" i="6" s="1"/>
  <c r="K572" i="6"/>
  <c r="J572" i="6"/>
  <c r="I572" i="6"/>
  <c r="O571" i="6"/>
  <c r="N571" i="6"/>
  <c r="L571" i="6"/>
  <c r="M571" i="6" s="1"/>
  <c r="K571" i="6"/>
  <c r="J571" i="6"/>
  <c r="I571" i="6"/>
  <c r="O570" i="6"/>
  <c r="N570" i="6"/>
  <c r="L570" i="6"/>
  <c r="M570" i="6" s="1"/>
  <c r="K570" i="6"/>
  <c r="J570" i="6"/>
  <c r="I570" i="6"/>
  <c r="O569" i="6"/>
  <c r="N569" i="6"/>
  <c r="L569" i="6"/>
  <c r="M569" i="6" s="1"/>
  <c r="K569" i="6"/>
  <c r="J569" i="6"/>
  <c r="I569" i="6"/>
  <c r="O568" i="6"/>
  <c r="N568" i="6"/>
  <c r="L568" i="6"/>
  <c r="M568" i="6" s="1"/>
  <c r="K568" i="6"/>
  <c r="J568" i="6"/>
  <c r="I568" i="6"/>
  <c r="O567" i="6"/>
  <c r="N567" i="6"/>
  <c r="L567" i="6"/>
  <c r="M567" i="6" s="1"/>
  <c r="K567" i="6"/>
  <c r="J567" i="6"/>
  <c r="I567" i="6"/>
  <c r="O566" i="6"/>
  <c r="N566" i="6"/>
  <c r="L566" i="6"/>
  <c r="M566" i="6" s="1"/>
  <c r="K566" i="6"/>
  <c r="J566" i="6"/>
  <c r="I566" i="6"/>
  <c r="O565" i="6"/>
  <c r="N565" i="6"/>
  <c r="L565" i="6"/>
  <c r="M565" i="6" s="1"/>
  <c r="K565" i="6"/>
  <c r="J565" i="6"/>
  <c r="I565" i="6"/>
  <c r="O564" i="6"/>
  <c r="N564" i="6"/>
  <c r="L564" i="6"/>
  <c r="M564" i="6" s="1"/>
  <c r="K564" i="6"/>
  <c r="J564" i="6"/>
  <c r="I564" i="6"/>
  <c r="O563" i="6"/>
  <c r="N563" i="6"/>
  <c r="L563" i="6"/>
  <c r="M563" i="6" s="1"/>
  <c r="K563" i="6"/>
  <c r="J563" i="6"/>
  <c r="I563" i="6"/>
  <c r="O562" i="6"/>
  <c r="N562" i="6"/>
  <c r="L562" i="6"/>
  <c r="M562" i="6" s="1"/>
  <c r="K562" i="6"/>
  <c r="J562" i="6"/>
  <c r="I562" i="6"/>
  <c r="O561" i="6"/>
  <c r="N561" i="6"/>
  <c r="L561" i="6"/>
  <c r="M561" i="6" s="1"/>
  <c r="K561" i="6"/>
  <c r="J561" i="6"/>
  <c r="I561" i="6"/>
  <c r="O560" i="6"/>
  <c r="N560" i="6"/>
  <c r="L560" i="6"/>
  <c r="M560" i="6" s="1"/>
  <c r="K560" i="6"/>
  <c r="J560" i="6"/>
  <c r="I560" i="6"/>
  <c r="O559" i="6"/>
  <c r="N559" i="6"/>
  <c r="L559" i="6"/>
  <c r="M559" i="6" s="1"/>
  <c r="K559" i="6"/>
  <c r="J559" i="6"/>
  <c r="I559" i="6"/>
  <c r="O558" i="6"/>
  <c r="N558" i="6"/>
  <c r="L558" i="6"/>
  <c r="M558" i="6" s="1"/>
  <c r="K558" i="6"/>
  <c r="J558" i="6"/>
  <c r="I558" i="6"/>
  <c r="O557" i="6"/>
  <c r="N557" i="6"/>
  <c r="L557" i="6"/>
  <c r="M557" i="6" s="1"/>
  <c r="K557" i="6"/>
  <c r="J557" i="6"/>
  <c r="I557" i="6"/>
  <c r="O556" i="6"/>
  <c r="N556" i="6"/>
  <c r="L556" i="6"/>
  <c r="M556" i="6" s="1"/>
  <c r="K556" i="6"/>
  <c r="J556" i="6"/>
  <c r="I556" i="6"/>
  <c r="O555" i="6"/>
  <c r="N555" i="6"/>
  <c r="L555" i="6"/>
  <c r="M555" i="6" s="1"/>
  <c r="K555" i="6"/>
  <c r="J555" i="6"/>
  <c r="I555" i="6"/>
  <c r="O554" i="6"/>
  <c r="N554" i="6"/>
  <c r="L554" i="6"/>
  <c r="M554" i="6" s="1"/>
  <c r="K554" i="6"/>
  <c r="J554" i="6"/>
  <c r="I554" i="6"/>
  <c r="O553" i="6"/>
  <c r="N553" i="6"/>
  <c r="L553" i="6"/>
  <c r="M553" i="6" s="1"/>
  <c r="K553" i="6"/>
  <c r="J553" i="6"/>
  <c r="I553" i="6"/>
  <c r="O552" i="6"/>
  <c r="N552" i="6"/>
  <c r="L552" i="6"/>
  <c r="M552" i="6" s="1"/>
  <c r="K552" i="6"/>
  <c r="J552" i="6"/>
  <c r="I552" i="6"/>
  <c r="O551" i="6"/>
  <c r="N551" i="6"/>
  <c r="L551" i="6"/>
  <c r="M551" i="6" s="1"/>
  <c r="K551" i="6"/>
  <c r="J551" i="6"/>
  <c r="I551" i="6"/>
  <c r="O550" i="6"/>
  <c r="N550" i="6"/>
  <c r="L550" i="6"/>
  <c r="M550" i="6" s="1"/>
  <c r="K550" i="6"/>
  <c r="J550" i="6"/>
  <c r="I550" i="6"/>
  <c r="O549" i="6"/>
  <c r="N549" i="6"/>
  <c r="L549" i="6"/>
  <c r="M549" i="6" s="1"/>
  <c r="K549" i="6"/>
  <c r="J549" i="6"/>
  <c r="I549" i="6"/>
  <c r="O548" i="6"/>
  <c r="N548" i="6"/>
  <c r="L548" i="6"/>
  <c r="M548" i="6" s="1"/>
  <c r="K548" i="6"/>
  <c r="J548" i="6"/>
  <c r="I548" i="6"/>
  <c r="O547" i="6"/>
  <c r="N547" i="6"/>
  <c r="L547" i="6"/>
  <c r="M547" i="6" s="1"/>
  <c r="K547" i="6"/>
  <c r="J547" i="6"/>
  <c r="I547" i="6"/>
  <c r="O546" i="6"/>
  <c r="N546" i="6"/>
  <c r="L546" i="6"/>
  <c r="M546" i="6" s="1"/>
  <c r="K546" i="6"/>
  <c r="J546" i="6"/>
  <c r="I546" i="6"/>
  <c r="O545" i="6"/>
  <c r="N545" i="6"/>
  <c r="L545" i="6"/>
  <c r="M545" i="6" s="1"/>
  <c r="K545" i="6"/>
  <c r="J545" i="6"/>
  <c r="I545" i="6"/>
  <c r="O544" i="6"/>
  <c r="N544" i="6"/>
  <c r="L544" i="6"/>
  <c r="M544" i="6" s="1"/>
  <c r="K544" i="6"/>
  <c r="J544" i="6"/>
  <c r="I544" i="6"/>
  <c r="O543" i="6"/>
  <c r="N543" i="6"/>
  <c r="L543" i="6"/>
  <c r="M543" i="6" s="1"/>
  <c r="K543" i="6"/>
  <c r="J543" i="6"/>
  <c r="I543" i="6"/>
  <c r="O542" i="6"/>
  <c r="N542" i="6"/>
  <c r="L542" i="6"/>
  <c r="M542" i="6" s="1"/>
  <c r="K542" i="6"/>
  <c r="J542" i="6"/>
  <c r="I542" i="6"/>
  <c r="O541" i="6"/>
  <c r="N541" i="6"/>
  <c r="L541" i="6"/>
  <c r="M541" i="6" s="1"/>
  <c r="K541" i="6"/>
  <c r="J541" i="6"/>
  <c r="I541" i="6"/>
  <c r="O540" i="6"/>
  <c r="N540" i="6"/>
  <c r="L540" i="6"/>
  <c r="M540" i="6" s="1"/>
  <c r="K540" i="6"/>
  <c r="J540" i="6"/>
  <c r="I540" i="6"/>
  <c r="O539" i="6"/>
  <c r="N539" i="6"/>
  <c r="L539" i="6"/>
  <c r="M539" i="6" s="1"/>
  <c r="K539" i="6"/>
  <c r="J539" i="6"/>
  <c r="I539" i="6"/>
  <c r="O538" i="6"/>
  <c r="N538" i="6"/>
  <c r="L538" i="6"/>
  <c r="M538" i="6" s="1"/>
  <c r="K538" i="6"/>
  <c r="J538" i="6"/>
  <c r="I538" i="6"/>
  <c r="O537" i="6"/>
  <c r="N537" i="6"/>
  <c r="L537" i="6"/>
  <c r="M537" i="6" s="1"/>
  <c r="K537" i="6"/>
  <c r="J537" i="6"/>
  <c r="I537" i="6"/>
  <c r="O536" i="6"/>
  <c r="N536" i="6"/>
  <c r="L536" i="6"/>
  <c r="M536" i="6" s="1"/>
  <c r="K536" i="6"/>
  <c r="J536" i="6"/>
  <c r="I536" i="6"/>
  <c r="O535" i="6"/>
  <c r="N535" i="6"/>
  <c r="L535" i="6"/>
  <c r="M535" i="6" s="1"/>
  <c r="K535" i="6"/>
  <c r="J535" i="6"/>
  <c r="I535" i="6"/>
  <c r="O534" i="6"/>
  <c r="N534" i="6"/>
  <c r="L534" i="6"/>
  <c r="M534" i="6" s="1"/>
  <c r="K534" i="6"/>
  <c r="J534" i="6"/>
  <c r="I534" i="6"/>
  <c r="O533" i="6"/>
  <c r="N533" i="6"/>
  <c r="L533" i="6"/>
  <c r="M533" i="6" s="1"/>
  <c r="K533" i="6"/>
  <c r="J533" i="6"/>
  <c r="I533" i="6"/>
  <c r="O532" i="6"/>
  <c r="N532" i="6"/>
  <c r="L532" i="6"/>
  <c r="M532" i="6" s="1"/>
  <c r="K532" i="6"/>
  <c r="J532" i="6"/>
  <c r="I532" i="6"/>
  <c r="O531" i="6"/>
  <c r="N531" i="6"/>
  <c r="L531" i="6"/>
  <c r="M531" i="6" s="1"/>
  <c r="K531" i="6"/>
  <c r="J531" i="6"/>
  <c r="I531" i="6"/>
  <c r="O530" i="6"/>
  <c r="N530" i="6"/>
  <c r="L530" i="6"/>
  <c r="M530" i="6" s="1"/>
  <c r="K530" i="6"/>
  <c r="J530" i="6"/>
  <c r="I530" i="6"/>
  <c r="O529" i="6"/>
  <c r="N529" i="6"/>
  <c r="L529" i="6"/>
  <c r="M529" i="6" s="1"/>
  <c r="K529" i="6"/>
  <c r="J529" i="6"/>
  <c r="I529" i="6"/>
  <c r="O528" i="6"/>
  <c r="N528" i="6"/>
  <c r="L528" i="6"/>
  <c r="M528" i="6" s="1"/>
  <c r="K528" i="6"/>
  <c r="J528" i="6"/>
  <c r="I528" i="6"/>
  <c r="O527" i="6"/>
  <c r="N527" i="6"/>
  <c r="L527" i="6"/>
  <c r="M527" i="6" s="1"/>
  <c r="K527" i="6"/>
  <c r="J527" i="6"/>
  <c r="I527" i="6"/>
  <c r="O526" i="6"/>
  <c r="N526" i="6"/>
  <c r="L526" i="6"/>
  <c r="M526" i="6" s="1"/>
  <c r="K526" i="6"/>
  <c r="J526" i="6"/>
  <c r="I526" i="6"/>
  <c r="O525" i="6"/>
  <c r="N525" i="6"/>
  <c r="L525" i="6"/>
  <c r="M525" i="6" s="1"/>
  <c r="K525" i="6"/>
  <c r="J525" i="6"/>
  <c r="I525" i="6"/>
  <c r="O524" i="6"/>
  <c r="N524" i="6"/>
  <c r="L524" i="6"/>
  <c r="M524" i="6" s="1"/>
  <c r="K524" i="6"/>
  <c r="J524" i="6"/>
  <c r="I524" i="6"/>
  <c r="O523" i="6"/>
  <c r="N523" i="6"/>
  <c r="L523" i="6"/>
  <c r="M523" i="6" s="1"/>
  <c r="K523" i="6"/>
  <c r="J523" i="6"/>
  <c r="I523" i="6"/>
  <c r="O522" i="6"/>
  <c r="N522" i="6"/>
  <c r="L522" i="6"/>
  <c r="M522" i="6" s="1"/>
  <c r="K522" i="6"/>
  <c r="J522" i="6"/>
  <c r="I522" i="6"/>
  <c r="O521" i="6"/>
  <c r="N521" i="6"/>
  <c r="L521" i="6"/>
  <c r="M521" i="6" s="1"/>
  <c r="K521" i="6"/>
  <c r="J521" i="6"/>
  <c r="I521" i="6"/>
  <c r="O520" i="6"/>
  <c r="N520" i="6"/>
  <c r="L520" i="6"/>
  <c r="M520" i="6" s="1"/>
  <c r="K520" i="6"/>
  <c r="J520" i="6"/>
  <c r="I520" i="6"/>
  <c r="O519" i="6"/>
  <c r="N519" i="6"/>
  <c r="L519" i="6"/>
  <c r="M519" i="6" s="1"/>
  <c r="K519" i="6"/>
  <c r="J519" i="6"/>
  <c r="I519" i="6"/>
  <c r="O518" i="6"/>
  <c r="N518" i="6"/>
  <c r="L518" i="6"/>
  <c r="M518" i="6" s="1"/>
  <c r="K518" i="6"/>
  <c r="J518" i="6"/>
  <c r="I518" i="6"/>
  <c r="O517" i="6"/>
  <c r="N517" i="6"/>
  <c r="L517" i="6"/>
  <c r="M517" i="6" s="1"/>
  <c r="K517" i="6"/>
  <c r="J517" i="6"/>
  <c r="I517" i="6"/>
  <c r="O516" i="6"/>
  <c r="N516" i="6"/>
  <c r="L516" i="6"/>
  <c r="M516" i="6" s="1"/>
  <c r="K516" i="6"/>
  <c r="J516" i="6"/>
  <c r="I516" i="6"/>
  <c r="O515" i="6"/>
  <c r="N515" i="6"/>
  <c r="L515" i="6"/>
  <c r="M515" i="6" s="1"/>
  <c r="K515" i="6"/>
  <c r="J515" i="6"/>
  <c r="I515" i="6"/>
  <c r="O514" i="6"/>
  <c r="N514" i="6"/>
  <c r="L514" i="6"/>
  <c r="M514" i="6" s="1"/>
  <c r="K514" i="6"/>
  <c r="J514" i="6"/>
  <c r="I514" i="6"/>
  <c r="O513" i="6"/>
  <c r="N513" i="6"/>
  <c r="L513" i="6"/>
  <c r="M513" i="6" s="1"/>
  <c r="K513" i="6"/>
  <c r="J513" i="6"/>
  <c r="I513" i="6"/>
  <c r="O512" i="6"/>
  <c r="N512" i="6"/>
  <c r="L512" i="6"/>
  <c r="M512" i="6" s="1"/>
  <c r="K512" i="6"/>
  <c r="J512" i="6"/>
  <c r="I512" i="6"/>
  <c r="O511" i="6"/>
  <c r="N511" i="6"/>
  <c r="L511" i="6"/>
  <c r="M511" i="6" s="1"/>
  <c r="K511" i="6"/>
  <c r="J511" i="6"/>
  <c r="I511" i="6"/>
  <c r="O510" i="6"/>
  <c r="N510" i="6"/>
  <c r="L510" i="6"/>
  <c r="M510" i="6" s="1"/>
  <c r="K510" i="6"/>
  <c r="J510" i="6"/>
  <c r="I510" i="6"/>
  <c r="O509" i="6"/>
  <c r="N509" i="6"/>
  <c r="L509" i="6"/>
  <c r="M509" i="6" s="1"/>
  <c r="K509" i="6"/>
  <c r="J509" i="6"/>
  <c r="I509" i="6"/>
  <c r="O508" i="6"/>
  <c r="N508" i="6"/>
  <c r="L508" i="6"/>
  <c r="M508" i="6" s="1"/>
  <c r="K508" i="6"/>
  <c r="J508" i="6"/>
  <c r="I508" i="6"/>
  <c r="O507" i="6"/>
  <c r="N507" i="6"/>
  <c r="L507" i="6"/>
  <c r="M507" i="6" s="1"/>
  <c r="K507" i="6"/>
  <c r="J507" i="6"/>
  <c r="I507" i="6"/>
  <c r="O506" i="6"/>
  <c r="N506" i="6"/>
  <c r="L506" i="6"/>
  <c r="M506" i="6" s="1"/>
  <c r="K506" i="6"/>
  <c r="J506" i="6"/>
  <c r="I506" i="6"/>
  <c r="O505" i="6"/>
  <c r="N505" i="6"/>
  <c r="L505" i="6"/>
  <c r="M505" i="6" s="1"/>
  <c r="K505" i="6"/>
  <c r="J505" i="6"/>
  <c r="I505" i="6"/>
  <c r="O504" i="6"/>
  <c r="N504" i="6"/>
  <c r="L504" i="6"/>
  <c r="M504" i="6" s="1"/>
  <c r="K504" i="6"/>
  <c r="J504" i="6"/>
  <c r="I504" i="6"/>
  <c r="O503" i="6"/>
  <c r="N503" i="6"/>
  <c r="L503" i="6"/>
  <c r="M503" i="6" s="1"/>
  <c r="K503" i="6"/>
  <c r="J503" i="6"/>
  <c r="I503" i="6"/>
  <c r="O502" i="6"/>
  <c r="N502" i="6"/>
  <c r="L502" i="6"/>
  <c r="M502" i="6" s="1"/>
  <c r="K502" i="6"/>
  <c r="J502" i="6"/>
  <c r="I502" i="6"/>
  <c r="O501" i="6"/>
  <c r="N501" i="6"/>
  <c r="L501" i="6"/>
  <c r="M501" i="6" s="1"/>
  <c r="K501" i="6"/>
  <c r="J501" i="6"/>
  <c r="I501" i="6"/>
  <c r="O500" i="6"/>
  <c r="N500" i="6"/>
  <c r="L500" i="6"/>
  <c r="M500" i="6" s="1"/>
  <c r="K500" i="6"/>
  <c r="J500" i="6"/>
  <c r="I500" i="6"/>
  <c r="O499" i="6"/>
  <c r="N499" i="6"/>
  <c r="L499" i="6"/>
  <c r="M499" i="6" s="1"/>
  <c r="K499" i="6"/>
  <c r="J499" i="6"/>
  <c r="I499" i="6"/>
  <c r="O498" i="6"/>
  <c r="N498" i="6"/>
  <c r="L498" i="6"/>
  <c r="M498" i="6" s="1"/>
  <c r="K498" i="6"/>
  <c r="J498" i="6"/>
  <c r="I498" i="6"/>
  <c r="O497" i="6"/>
  <c r="N497" i="6"/>
  <c r="L497" i="6"/>
  <c r="M497" i="6" s="1"/>
  <c r="K497" i="6"/>
  <c r="J497" i="6"/>
  <c r="I497" i="6"/>
  <c r="O496" i="6"/>
  <c r="N496" i="6"/>
  <c r="L496" i="6"/>
  <c r="M496" i="6" s="1"/>
  <c r="K496" i="6"/>
  <c r="J496" i="6"/>
  <c r="I496" i="6"/>
  <c r="O495" i="6"/>
  <c r="N495" i="6"/>
  <c r="L495" i="6"/>
  <c r="M495" i="6" s="1"/>
  <c r="K495" i="6"/>
  <c r="J495" i="6"/>
  <c r="I495" i="6"/>
  <c r="O494" i="6"/>
  <c r="N494" i="6"/>
  <c r="L494" i="6"/>
  <c r="M494" i="6" s="1"/>
  <c r="K494" i="6"/>
  <c r="J494" i="6"/>
  <c r="I494" i="6"/>
  <c r="O493" i="6"/>
  <c r="N493" i="6"/>
  <c r="L493" i="6"/>
  <c r="M493" i="6" s="1"/>
  <c r="K493" i="6"/>
  <c r="J493" i="6"/>
  <c r="I493" i="6"/>
  <c r="O492" i="6"/>
  <c r="N492" i="6"/>
  <c r="L492" i="6"/>
  <c r="M492" i="6" s="1"/>
  <c r="K492" i="6"/>
  <c r="J492" i="6"/>
  <c r="I492" i="6"/>
  <c r="O491" i="6"/>
  <c r="N491" i="6"/>
  <c r="L491" i="6"/>
  <c r="M491" i="6" s="1"/>
  <c r="K491" i="6"/>
  <c r="J491" i="6"/>
  <c r="I491" i="6"/>
  <c r="O490" i="6"/>
  <c r="N490" i="6"/>
  <c r="L490" i="6"/>
  <c r="M490" i="6" s="1"/>
  <c r="K490" i="6"/>
  <c r="J490" i="6"/>
  <c r="I490" i="6"/>
  <c r="O489" i="6"/>
  <c r="N489" i="6"/>
  <c r="L489" i="6"/>
  <c r="M489" i="6" s="1"/>
  <c r="K489" i="6"/>
  <c r="J489" i="6"/>
  <c r="I489" i="6"/>
  <c r="O488" i="6"/>
  <c r="N488" i="6"/>
  <c r="L488" i="6"/>
  <c r="M488" i="6" s="1"/>
  <c r="K488" i="6"/>
  <c r="J488" i="6"/>
  <c r="I488" i="6"/>
  <c r="O487" i="6"/>
  <c r="N487" i="6"/>
  <c r="L487" i="6"/>
  <c r="M487" i="6" s="1"/>
  <c r="K487" i="6"/>
  <c r="J487" i="6"/>
  <c r="I487" i="6"/>
  <c r="O486" i="6"/>
  <c r="N486" i="6"/>
  <c r="L486" i="6"/>
  <c r="M486" i="6" s="1"/>
  <c r="K486" i="6"/>
  <c r="J486" i="6"/>
  <c r="I486" i="6"/>
  <c r="O485" i="6"/>
  <c r="N485" i="6"/>
  <c r="L485" i="6"/>
  <c r="M485" i="6" s="1"/>
  <c r="K485" i="6"/>
  <c r="J485" i="6"/>
  <c r="I485" i="6"/>
  <c r="O484" i="6"/>
  <c r="N484" i="6"/>
  <c r="L484" i="6"/>
  <c r="M484" i="6" s="1"/>
  <c r="K484" i="6"/>
  <c r="J484" i="6"/>
  <c r="I484" i="6"/>
  <c r="O483" i="6"/>
  <c r="N483" i="6"/>
  <c r="L483" i="6"/>
  <c r="M483" i="6" s="1"/>
  <c r="K483" i="6"/>
  <c r="J483" i="6"/>
  <c r="I483" i="6"/>
  <c r="O482" i="6"/>
  <c r="N482" i="6"/>
  <c r="L482" i="6"/>
  <c r="M482" i="6" s="1"/>
  <c r="K482" i="6"/>
  <c r="J482" i="6"/>
  <c r="I482" i="6"/>
  <c r="O481" i="6"/>
  <c r="N481" i="6"/>
  <c r="L481" i="6"/>
  <c r="M481" i="6" s="1"/>
  <c r="K481" i="6"/>
  <c r="J481" i="6"/>
  <c r="I481" i="6"/>
  <c r="O480" i="6"/>
  <c r="N480" i="6"/>
  <c r="L480" i="6"/>
  <c r="M480" i="6" s="1"/>
  <c r="K480" i="6"/>
  <c r="J480" i="6"/>
  <c r="I480" i="6"/>
  <c r="O479" i="6"/>
  <c r="N479" i="6"/>
  <c r="L479" i="6"/>
  <c r="M479" i="6" s="1"/>
  <c r="K479" i="6"/>
  <c r="J479" i="6"/>
  <c r="I479" i="6"/>
  <c r="O478" i="6"/>
  <c r="N478" i="6"/>
  <c r="L478" i="6"/>
  <c r="M478" i="6" s="1"/>
  <c r="K478" i="6"/>
  <c r="J478" i="6"/>
  <c r="I478" i="6"/>
  <c r="O477" i="6"/>
  <c r="N477" i="6"/>
  <c r="L477" i="6"/>
  <c r="M477" i="6" s="1"/>
  <c r="K477" i="6"/>
  <c r="J477" i="6"/>
  <c r="I477" i="6"/>
  <c r="O476" i="6"/>
  <c r="N476" i="6"/>
  <c r="L476" i="6"/>
  <c r="M476" i="6" s="1"/>
  <c r="K476" i="6"/>
  <c r="J476" i="6"/>
  <c r="I476" i="6"/>
  <c r="O475" i="6"/>
  <c r="N475" i="6"/>
  <c r="L475" i="6"/>
  <c r="M475" i="6" s="1"/>
  <c r="K475" i="6"/>
  <c r="J475" i="6"/>
  <c r="I475" i="6"/>
  <c r="O474" i="6"/>
  <c r="N474" i="6"/>
  <c r="L474" i="6"/>
  <c r="M474" i="6" s="1"/>
  <c r="K474" i="6"/>
  <c r="J474" i="6"/>
  <c r="I474" i="6"/>
  <c r="O473" i="6"/>
  <c r="N473" i="6"/>
  <c r="L473" i="6"/>
  <c r="M473" i="6" s="1"/>
  <c r="K473" i="6"/>
  <c r="J473" i="6"/>
  <c r="I473" i="6"/>
  <c r="O472" i="6"/>
  <c r="N472" i="6"/>
  <c r="L472" i="6"/>
  <c r="M472" i="6" s="1"/>
  <c r="K472" i="6"/>
  <c r="J472" i="6"/>
  <c r="I472" i="6"/>
  <c r="O471" i="6"/>
  <c r="N471" i="6"/>
  <c r="L471" i="6"/>
  <c r="M471" i="6" s="1"/>
  <c r="K471" i="6"/>
  <c r="J471" i="6"/>
  <c r="I471" i="6"/>
  <c r="O470" i="6"/>
  <c r="N470" i="6"/>
  <c r="L470" i="6"/>
  <c r="M470" i="6" s="1"/>
  <c r="K470" i="6"/>
  <c r="J470" i="6"/>
  <c r="I470" i="6"/>
  <c r="O469" i="6"/>
  <c r="N469" i="6"/>
  <c r="L469" i="6"/>
  <c r="M469" i="6" s="1"/>
  <c r="K469" i="6"/>
  <c r="J469" i="6"/>
  <c r="I469" i="6"/>
  <c r="O468" i="6"/>
  <c r="N468" i="6"/>
  <c r="L468" i="6"/>
  <c r="M468" i="6" s="1"/>
  <c r="K468" i="6"/>
  <c r="J468" i="6"/>
  <c r="I468" i="6"/>
  <c r="O467" i="6"/>
  <c r="N467" i="6"/>
  <c r="L467" i="6"/>
  <c r="M467" i="6" s="1"/>
  <c r="K467" i="6"/>
  <c r="J467" i="6"/>
  <c r="I467" i="6"/>
  <c r="O466" i="6"/>
  <c r="N466" i="6"/>
  <c r="L466" i="6"/>
  <c r="M466" i="6" s="1"/>
  <c r="K466" i="6"/>
  <c r="J466" i="6"/>
  <c r="I466" i="6"/>
  <c r="O465" i="6"/>
  <c r="N465" i="6"/>
  <c r="L465" i="6"/>
  <c r="M465" i="6" s="1"/>
  <c r="K465" i="6"/>
  <c r="J465" i="6"/>
  <c r="I465" i="6"/>
  <c r="O464" i="6"/>
  <c r="N464" i="6"/>
  <c r="L464" i="6"/>
  <c r="M464" i="6" s="1"/>
  <c r="K464" i="6"/>
  <c r="J464" i="6"/>
  <c r="I464" i="6"/>
  <c r="O463" i="6"/>
  <c r="N463" i="6"/>
  <c r="L463" i="6"/>
  <c r="M463" i="6" s="1"/>
  <c r="K463" i="6"/>
  <c r="J463" i="6"/>
  <c r="I463" i="6"/>
  <c r="O462" i="6"/>
  <c r="N462" i="6"/>
  <c r="L462" i="6"/>
  <c r="M462" i="6" s="1"/>
  <c r="K462" i="6"/>
  <c r="J462" i="6"/>
  <c r="I462" i="6"/>
  <c r="O461" i="6"/>
  <c r="N461" i="6"/>
  <c r="L461" i="6"/>
  <c r="M461" i="6" s="1"/>
  <c r="K461" i="6"/>
  <c r="J461" i="6"/>
  <c r="I461" i="6"/>
  <c r="O460" i="6"/>
  <c r="N460" i="6"/>
  <c r="L460" i="6"/>
  <c r="M460" i="6" s="1"/>
  <c r="K460" i="6"/>
  <c r="J460" i="6"/>
  <c r="I460" i="6"/>
  <c r="O459" i="6"/>
  <c r="N459" i="6"/>
  <c r="L459" i="6"/>
  <c r="M459" i="6" s="1"/>
  <c r="K459" i="6"/>
  <c r="J459" i="6"/>
  <c r="I459" i="6"/>
  <c r="O458" i="6"/>
  <c r="N458" i="6"/>
  <c r="L458" i="6"/>
  <c r="M458" i="6" s="1"/>
  <c r="K458" i="6"/>
  <c r="J458" i="6"/>
  <c r="I458" i="6"/>
  <c r="O457" i="6"/>
  <c r="N457" i="6"/>
  <c r="L457" i="6"/>
  <c r="M457" i="6" s="1"/>
  <c r="K457" i="6"/>
  <c r="J457" i="6"/>
  <c r="I457" i="6"/>
  <c r="O456" i="6"/>
  <c r="N456" i="6"/>
  <c r="L456" i="6"/>
  <c r="M456" i="6" s="1"/>
  <c r="K456" i="6"/>
  <c r="J456" i="6"/>
  <c r="I456" i="6"/>
  <c r="O455" i="6"/>
  <c r="N455" i="6"/>
  <c r="L455" i="6"/>
  <c r="M455" i="6" s="1"/>
  <c r="K455" i="6"/>
  <c r="J455" i="6"/>
  <c r="I455" i="6"/>
  <c r="O454" i="6"/>
  <c r="N454" i="6"/>
  <c r="L454" i="6"/>
  <c r="M454" i="6" s="1"/>
  <c r="K454" i="6"/>
  <c r="J454" i="6"/>
  <c r="I454" i="6"/>
  <c r="O453" i="6"/>
  <c r="N453" i="6"/>
  <c r="L453" i="6"/>
  <c r="M453" i="6" s="1"/>
  <c r="K453" i="6"/>
  <c r="J453" i="6"/>
  <c r="I453" i="6"/>
  <c r="O452" i="6"/>
  <c r="N452" i="6"/>
  <c r="L452" i="6"/>
  <c r="M452" i="6" s="1"/>
  <c r="K452" i="6"/>
  <c r="J452" i="6"/>
  <c r="I452" i="6"/>
  <c r="O451" i="6"/>
  <c r="N451" i="6"/>
  <c r="L451" i="6"/>
  <c r="M451" i="6" s="1"/>
  <c r="K451" i="6"/>
  <c r="J451" i="6"/>
  <c r="I451" i="6"/>
  <c r="O450" i="6"/>
  <c r="N450" i="6"/>
  <c r="L450" i="6"/>
  <c r="M450" i="6" s="1"/>
  <c r="K450" i="6"/>
  <c r="J450" i="6"/>
  <c r="I450" i="6"/>
  <c r="O449" i="6"/>
  <c r="N449" i="6"/>
  <c r="L449" i="6"/>
  <c r="M449" i="6" s="1"/>
  <c r="K449" i="6"/>
  <c r="J449" i="6"/>
  <c r="I449" i="6"/>
  <c r="O448" i="6"/>
  <c r="N448" i="6"/>
  <c r="L448" i="6"/>
  <c r="M448" i="6" s="1"/>
  <c r="K448" i="6"/>
  <c r="J448" i="6"/>
  <c r="I448" i="6"/>
  <c r="O447" i="6"/>
  <c r="N447" i="6"/>
  <c r="L447" i="6"/>
  <c r="M447" i="6" s="1"/>
  <c r="K447" i="6"/>
  <c r="J447" i="6"/>
  <c r="I447" i="6"/>
  <c r="O446" i="6"/>
  <c r="N446" i="6"/>
  <c r="L446" i="6"/>
  <c r="M446" i="6" s="1"/>
  <c r="K446" i="6"/>
  <c r="J446" i="6"/>
  <c r="I446" i="6"/>
  <c r="O445" i="6"/>
  <c r="N445" i="6"/>
  <c r="L445" i="6"/>
  <c r="M445" i="6" s="1"/>
  <c r="K445" i="6"/>
  <c r="J445" i="6"/>
  <c r="I445" i="6"/>
  <c r="O444" i="6"/>
  <c r="N444" i="6"/>
  <c r="L444" i="6"/>
  <c r="M444" i="6" s="1"/>
  <c r="K444" i="6"/>
  <c r="J444" i="6"/>
  <c r="I444" i="6"/>
  <c r="O443" i="6"/>
  <c r="N443" i="6"/>
  <c r="L443" i="6"/>
  <c r="M443" i="6" s="1"/>
  <c r="K443" i="6"/>
  <c r="J443" i="6"/>
  <c r="I443" i="6"/>
  <c r="O442" i="6"/>
  <c r="N442" i="6"/>
  <c r="L442" i="6"/>
  <c r="M442" i="6" s="1"/>
  <c r="K442" i="6"/>
  <c r="J442" i="6"/>
  <c r="I442" i="6"/>
  <c r="O441" i="6"/>
  <c r="N441" i="6"/>
  <c r="L441" i="6"/>
  <c r="M441" i="6" s="1"/>
  <c r="K441" i="6"/>
  <c r="J441" i="6"/>
  <c r="I441" i="6"/>
  <c r="O440" i="6"/>
  <c r="N440" i="6"/>
  <c r="L440" i="6"/>
  <c r="M440" i="6" s="1"/>
  <c r="K440" i="6"/>
  <c r="J440" i="6"/>
  <c r="I440" i="6"/>
  <c r="O439" i="6"/>
  <c r="N439" i="6"/>
  <c r="L439" i="6"/>
  <c r="M439" i="6" s="1"/>
  <c r="K439" i="6"/>
  <c r="J439" i="6"/>
  <c r="I439" i="6"/>
  <c r="O438" i="6"/>
  <c r="N438" i="6"/>
  <c r="L438" i="6"/>
  <c r="M438" i="6" s="1"/>
  <c r="K438" i="6"/>
  <c r="J438" i="6"/>
  <c r="I438" i="6"/>
  <c r="O437" i="6"/>
  <c r="N437" i="6"/>
  <c r="L437" i="6"/>
  <c r="M437" i="6" s="1"/>
  <c r="K437" i="6"/>
  <c r="J437" i="6"/>
  <c r="I437" i="6"/>
  <c r="O436" i="6"/>
  <c r="N436" i="6"/>
  <c r="L436" i="6"/>
  <c r="M436" i="6" s="1"/>
  <c r="K436" i="6"/>
  <c r="J436" i="6"/>
  <c r="I436" i="6"/>
  <c r="O435" i="6"/>
  <c r="N435" i="6"/>
  <c r="L435" i="6"/>
  <c r="M435" i="6" s="1"/>
  <c r="K435" i="6"/>
  <c r="J435" i="6"/>
  <c r="I435" i="6"/>
  <c r="O434" i="6"/>
  <c r="N434" i="6"/>
  <c r="L434" i="6"/>
  <c r="M434" i="6" s="1"/>
  <c r="K434" i="6"/>
  <c r="J434" i="6"/>
  <c r="I434" i="6"/>
  <c r="O433" i="6"/>
  <c r="N433" i="6"/>
  <c r="L433" i="6"/>
  <c r="M433" i="6" s="1"/>
  <c r="K433" i="6"/>
  <c r="J433" i="6"/>
  <c r="I433" i="6"/>
  <c r="O432" i="6"/>
  <c r="N432" i="6"/>
  <c r="L432" i="6"/>
  <c r="M432" i="6" s="1"/>
  <c r="K432" i="6"/>
  <c r="J432" i="6"/>
  <c r="I432" i="6"/>
  <c r="O431" i="6"/>
  <c r="N431" i="6"/>
  <c r="L431" i="6"/>
  <c r="M431" i="6" s="1"/>
  <c r="K431" i="6"/>
  <c r="J431" i="6"/>
  <c r="I431" i="6"/>
  <c r="O430" i="6"/>
  <c r="N430" i="6"/>
  <c r="L430" i="6"/>
  <c r="M430" i="6" s="1"/>
  <c r="K430" i="6"/>
  <c r="J430" i="6"/>
  <c r="I430" i="6"/>
  <c r="O429" i="6"/>
  <c r="N429" i="6"/>
  <c r="L429" i="6"/>
  <c r="M429" i="6" s="1"/>
  <c r="K429" i="6"/>
  <c r="J429" i="6"/>
  <c r="I429" i="6"/>
  <c r="O428" i="6"/>
  <c r="N428" i="6"/>
  <c r="L428" i="6"/>
  <c r="M428" i="6" s="1"/>
  <c r="K428" i="6"/>
  <c r="J428" i="6"/>
  <c r="I428" i="6"/>
  <c r="O427" i="6"/>
  <c r="N427" i="6"/>
  <c r="L427" i="6"/>
  <c r="M427" i="6" s="1"/>
  <c r="K427" i="6"/>
  <c r="J427" i="6"/>
  <c r="I427" i="6"/>
  <c r="O426" i="6"/>
  <c r="N426" i="6"/>
  <c r="L426" i="6"/>
  <c r="M426" i="6" s="1"/>
  <c r="K426" i="6"/>
  <c r="J426" i="6"/>
  <c r="I426" i="6"/>
  <c r="O425" i="6"/>
  <c r="N425" i="6"/>
  <c r="L425" i="6"/>
  <c r="M425" i="6" s="1"/>
  <c r="K425" i="6"/>
  <c r="J425" i="6"/>
  <c r="I425" i="6"/>
  <c r="O424" i="6"/>
  <c r="N424" i="6"/>
  <c r="L424" i="6"/>
  <c r="M424" i="6" s="1"/>
  <c r="K424" i="6"/>
  <c r="J424" i="6"/>
  <c r="I424" i="6"/>
  <c r="O423" i="6"/>
  <c r="N423" i="6"/>
  <c r="L423" i="6"/>
  <c r="M423" i="6" s="1"/>
  <c r="K423" i="6"/>
  <c r="J423" i="6"/>
  <c r="I423" i="6"/>
  <c r="O422" i="6"/>
  <c r="N422" i="6"/>
  <c r="L422" i="6"/>
  <c r="M422" i="6" s="1"/>
  <c r="K422" i="6"/>
  <c r="J422" i="6"/>
  <c r="I422" i="6"/>
  <c r="O421" i="6"/>
  <c r="N421" i="6"/>
  <c r="L421" i="6"/>
  <c r="M421" i="6" s="1"/>
  <c r="K421" i="6"/>
  <c r="J421" i="6"/>
  <c r="I421" i="6"/>
  <c r="O420" i="6"/>
  <c r="N420" i="6"/>
  <c r="L420" i="6"/>
  <c r="M420" i="6" s="1"/>
  <c r="K420" i="6"/>
  <c r="J420" i="6"/>
  <c r="I420" i="6"/>
  <c r="O419" i="6"/>
  <c r="N419" i="6"/>
  <c r="L419" i="6"/>
  <c r="M419" i="6" s="1"/>
  <c r="K419" i="6"/>
  <c r="J419" i="6"/>
  <c r="I419" i="6"/>
  <c r="O418" i="6"/>
  <c r="N418" i="6"/>
  <c r="L418" i="6"/>
  <c r="M418" i="6" s="1"/>
  <c r="K418" i="6"/>
  <c r="J418" i="6"/>
  <c r="I418" i="6"/>
  <c r="O417" i="6"/>
  <c r="N417" i="6"/>
  <c r="L417" i="6"/>
  <c r="M417" i="6" s="1"/>
  <c r="K417" i="6"/>
  <c r="J417" i="6"/>
  <c r="I417" i="6"/>
  <c r="O416" i="6"/>
  <c r="N416" i="6"/>
  <c r="L416" i="6"/>
  <c r="M416" i="6" s="1"/>
  <c r="K416" i="6"/>
  <c r="J416" i="6"/>
  <c r="I416" i="6"/>
  <c r="O415" i="6"/>
  <c r="N415" i="6"/>
  <c r="L415" i="6"/>
  <c r="M415" i="6" s="1"/>
  <c r="K415" i="6"/>
  <c r="J415" i="6"/>
  <c r="I415" i="6"/>
  <c r="O414" i="6"/>
  <c r="N414" i="6"/>
  <c r="L414" i="6"/>
  <c r="M414" i="6" s="1"/>
  <c r="K414" i="6"/>
  <c r="J414" i="6"/>
  <c r="I414" i="6"/>
  <c r="O413" i="6"/>
  <c r="N413" i="6"/>
  <c r="L413" i="6"/>
  <c r="M413" i="6" s="1"/>
  <c r="K413" i="6"/>
  <c r="J413" i="6"/>
  <c r="I413" i="6"/>
  <c r="O412" i="6"/>
  <c r="N412" i="6"/>
  <c r="L412" i="6"/>
  <c r="M412" i="6" s="1"/>
  <c r="K412" i="6"/>
  <c r="J412" i="6"/>
  <c r="I412" i="6"/>
  <c r="O411" i="6"/>
  <c r="N411" i="6"/>
  <c r="L411" i="6"/>
  <c r="M411" i="6" s="1"/>
  <c r="K411" i="6"/>
  <c r="J411" i="6"/>
  <c r="I411" i="6"/>
  <c r="O410" i="6"/>
  <c r="N410" i="6"/>
  <c r="L410" i="6"/>
  <c r="M410" i="6" s="1"/>
  <c r="K410" i="6"/>
  <c r="J410" i="6"/>
  <c r="I410" i="6"/>
  <c r="O409" i="6"/>
  <c r="N409" i="6"/>
  <c r="L409" i="6"/>
  <c r="M409" i="6" s="1"/>
  <c r="K409" i="6"/>
  <c r="J409" i="6"/>
  <c r="I409" i="6"/>
  <c r="O408" i="6"/>
  <c r="N408" i="6"/>
  <c r="L408" i="6"/>
  <c r="M408" i="6" s="1"/>
  <c r="K408" i="6"/>
  <c r="J408" i="6"/>
  <c r="I408" i="6"/>
  <c r="O407" i="6"/>
  <c r="N407" i="6"/>
  <c r="L407" i="6"/>
  <c r="M407" i="6" s="1"/>
  <c r="K407" i="6"/>
  <c r="J407" i="6"/>
  <c r="I407" i="6"/>
  <c r="O406" i="6"/>
  <c r="N406" i="6"/>
  <c r="L406" i="6"/>
  <c r="M406" i="6" s="1"/>
  <c r="K406" i="6"/>
  <c r="J406" i="6"/>
  <c r="I406" i="6"/>
  <c r="O405" i="6"/>
  <c r="N405" i="6"/>
  <c r="L405" i="6"/>
  <c r="M405" i="6" s="1"/>
  <c r="K405" i="6"/>
  <c r="J405" i="6"/>
  <c r="I405" i="6"/>
  <c r="O404" i="6"/>
  <c r="N404" i="6"/>
  <c r="L404" i="6"/>
  <c r="M404" i="6" s="1"/>
  <c r="K404" i="6"/>
  <c r="J404" i="6"/>
  <c r="I404" i="6"/>
  <c r="O403" i="6"/>
  <c r="N403" i="6"/>
  <c r="L403" i="6"/>
  <c r="M403" i="6" s="1"/>
  <c r="K403" i="6"/>
  <c r="J403" i="6"/>
  <c r="I403" i="6"/>
  <c r="O402" i="6"/>
  <c r="N402" i="6"/>
  <c r="L402" i="6"/>
  <c r="M402" i="6" s="1"/>
  <c r="K402" i="6"/>
  <c r="J402" i="6"/>
  <c r="I402" i="6"/>
  <c r="O401" i="6"/>
  <c r="N401" i="6"/>
  <c r="L401" i="6"/>
  <c r="M401" i="6" s="1"/>
  <c r="K401" i="6"/>
  <c r="J401" i="6"/>
  <c r="I401" i="6"/>
  <c r="O400" i="6"/>
  <c r="N400" i="6"/>
  <c r="L400" i="6"/>
  <c r="M400" i="6" s="1"/>
  <c r="K400" i="6"/>
  <c r="J400" i="6"/>
  <c r="I400" i="6"/>
  <c r="O399" i="6"/>
  <c r="N399" i="6"/>
  <c r="L399" i="6"/>
  <c r="M399" i="6" s="1"/>
  <c r="K399" i="6"/>
  <c r="J399" i="6"/>
  <c r="I399" i="6"/>
  <c r="O398" i="6"/>
  <c r="N398" i="6"/>
  <c r="L398" i="6"/>
  <c r="M398" i="6" s="1"/>
  <c r="K398" i="6"/>
  <c r="J398" i="6"/>
  <c r="I398" i="6"/>
  <c r="O397" i="6"/>
  <c r="N397" i="6"/>
  <c r="L397" i="6"/>
  <c r="M397" i="6" s="1"/>
  <c r="K397" i="6"/>
  <c r="J397" i="6"/>
  <c r="I397" i="6"/>
  <c r="O396" i="6"/>
  <c r="N396" i="6"/>
  <c r="L396" i="6"/>
  <c r="M396" i="6" s="1"/>
  <c r="K396" i="6"/>
  <c r="J396" i="6"/>
  <c r="I396" i="6"/>
  <c r="O395" i="6"/>
  <c r="N395" i="6"/>
  <c r="L395" i="6"/>
  <c r="M395" i="6" s="1"/>
  <c r="K395" i="6"/>
  <c r="J395" i="6"/>
  <c r="I395" i="6"/>
  <c r="O394" i="6"/>
  <c r="N394" i="6"/>
  <c r="L394" i="6"/>
  <c r="M394" i="6" s="1"/>
  <c r="K394" i="6"/>
  <c r="J394" i="6"/>
  <c r="I394" i="6"/>
  <c r="O393" i="6"/>
  <c r="N393" i="6"/>
  <c r="L393" i="6"/>
  <c r="M393" i="6" s="1"/>
  <c r="K393" i="6"/>
  <c r="J393" i="6"/>
  <c r="I393" i="6"/>
  <c r="O392" i="6"/>
  <c r="N392" i="6"/>
  <c r="L392" i="6"/>
  <c r="M392" i="6" s="1"/>
  <c r="K392" i="6"/>
  <c r="J392" i="6"/>
  <c r="I392" i="6"/>
  <c r="O391" i="6"/>
  <c r="N391" i="6"/>
  <c r="L391" i="6"/>
  <c r="M391" i="6" s="1"/>
  <c r="K391" i="6"/>
  <c r="J391" i="6"/>
  <c r="I391" i="6"/>
  <c r="O390" i="6"/>
  <c r="N390" i="6"/>
  <c r="L390" i="6"/>
  <c r="M390" i="6" s="1"/>
  <c r="K390" i="6"/>
  <c r="J390" i="6"/>
  <c r="I390" i="6"/>
  <c r="O389" i="6"/>
  <c r="N389" i="6"/>
  <c r="L389" i="6"/>
  <c r="M389" i="6" s="1"/>
  <c r="K389" i="6"/>
  <c r="J389" i="6"/>
  <c r="I389" i="6"/>
  <c r="O388" i="6"/>
  <c r="N388" i="6"/>
  <c r="L388" i="6"/>
  <c r="M388" i="6" s="1"/>
  <c r="K388" i="6"/>
  <c r="J388" i="6"/>
  <c r="I388" i="6"/>
  <c r="O387" i="6"/>
  <c r="N387" i="6"/>
  <c r="L387" i="6"/>
  <c r="M387" i="6" s="1"/>
  <c r="K387" i="6"/>
  <c r="J387" i="6"/>
  <c r="I387" i="6"/>
  <c r="O386" i="6"/>
  <c r="N386" i="6"/>
  <c r="L386" i="6"/>
  <c r="M386" i="6" s="1"/>
  <c r="K386" i="6"/>
  <c r="J386" i="6"/>
  <c r="I386" i="6"/>
  <c r="O385" i="6"/>
  <c r="N385" i="6"/>
  <c r="L385" i="6"/>
  <c r="M385" i="6" s="1"/>
  <c r="K385" i="6"/>
  <c r="J385" i="6"/>
  <c r="I385" i="6"/>
  <c r="O384" i="6"/>
  <c r="N384" i="6"/>
  <c r="L384" i="6"/>
  <c r="M384" i="6" s="1"/>
  <c r="K384" i="6"/>
  <c r="J384" i="6"/>
  <c r="I384" i="6"/>
  <c r="O383" i="6"/>
  <c r="N383" i="6"/>
  <c r="L383" i="6"/>
  <c r="M383" i="6" s="1"/>
  <c r="K383" i="6"/>
  <c r="J383" i="6"/>
  <c r="I383" i="6"/>
  <c r="O382" i="6"/>
  <c r="N382" i="6"/>
  <c r="L382" i="6"/>
  <c r="M382" i="6" s="1"/>
  <c r="K382" i="6"/>
  <c r="J382" i="6"/>
  <c r="I382" i="6"/>
  <c r="O381" i="6"/>
  <c r="N381" i="6"/>
  <c r="L381" i="6"/>
  <c r="M381" i="6" s="1"/>
  <c r="K381" i="6"/>
  <c r="J381" i="6"/>
  <c r="I381" i="6"/>
  <c r="O380" i="6"/>
  <c r="N380" i="6"/>
  <c r="L380" i="6"/>
  <c r="M380" i="6" s="1"/>
  <c r="K380" i="6"/>
  <c r="J380" i="6"/>
  <c r="I380" i="6"/>
  <c r="O379" i="6"/>
  <c r="N379" i="6"/>
  <c r="L379" i="6"/>
  <c r="M379" i="6" s="1"/>
  <c r="K379" i="6"/>
  <c r="J379" i="6"/>
  <c r="I379" i="6"/>
  <c r="O378" i="6"/>
  <c r="N378" i="6"/>
  <c r="L378" i="6"/>
  <c r="M378" i="6" s="1"/>
  <c r="K378" i="6"/>
  <c r="J378" i="6"/>
  <c r="I378" i="6"/>
  <c r="O377" i="6"/>
  <c r="N377" i="6"/>
  <c r="L377" i="6"/>
  <c r="M377" i="6" s="1"/>
  <c r="K377" i="6"/>
  <c r="J377" i="6"/>
  <c r="I377" i="6"/>
  <c r="O376" i="6"/>
  <c r="N376" i="6"/>
  <c r="L376" i="6"/>
  <c r="M376" i="6" s="1"/>
  <c r="K376" i="6"/>
  <c r="J376" i="6"/>
  <c r="I376" i="6"/>
  <c r="O375" i="6"/>
  <c r="N375" i="6"/>
  <c r="L375" i="6"/>
  <c r="M375" i="6" s="1"/>
  <c r="K375" i="6"/>
  <c r="J375" i="6"/>
  <c r="I375" i="6"/>
  <c r="O374" i="6"/>
  <c r="N374" i="6"/>
  <c r="L374" i="6"/>
  <c r="M374" i="6" s="1"/>
  <c r="K374" i="6"/>
  <c r="J374" i="6"/>
  <c r="I374" i="6"/>
  <c r="O373" i="6"/>
  <c r="N373" i="6"/>
  <c r="L373" i="6"/>
  <c r="M373" i="6" s="1"/>
  <c r="K373" i="6"/>
  <c r="J373" i="6"/>
  <c r="I373" i="6"/>
  <c r="O372" i="6"/>
  <c r="N372" i="6"/>
  <c r="L372" i="6"/>
  <c r="M372" i="6" s="1"/>
  <c r="K372" i="6"/>
  <c r="J372" i="6"/>
  <c r="I372" i="6"/>
  <c r="O371" i="6"/>
  <c r="N371" i="6"/>
  <c r="L371" i="6"/>
  <c r="M371" i="6" s="1"/>
  <c r="K371" i="6"/>
  <c r="J371" i="6"/>
  <c r="I371" i="6"/>
  <c r="O370" i="6"/>
  <c r="N370" i="6"/>
  <c r="L370" i="6"/>
  <c r="M370" i="6" s="1"/>
  <c r="K370" i="6"/>
  <c r="J370" i="6"/>
  <c r="I370" i="6"/>
  <c r="O369" i="6"/>
  <c r="N369" i="6"/>
  <c r="L369" i="6"/>
  <c r="M369" i="6" s="1"/>
  <c r="K369" i="6"/>
  <c r="J369" i="6"/>
  <c r="I369" i="6"/>
  <c r="O368" i="6"/>
  <c r="N368" i="6"/>
  <c r="L368" i="6"/>
  <c r="M368" i="6" s="1"/>
  <c r="K368" i="6"/>
  <c r="J368" i="6"/>
  <c r="I368" i="6"/>
  <c r="O367" i="6"/>
  <c r="N367" i="6"/>
  <c r="L367" i="6"/>
  <c r="M367" i="6" s="1"/>
  <c r="K367" i="6"/>
  <c r="J367" i="6"/>
  <c r="I367" i="6"/>
  <c r="O366" i="6"/>
  <c r="N366" i="6"/>
  <c r="L366" i="6"/>
  <c r="M366" i="6" s="1"/>
  <c r="K366" i="6"/>
  <c r="J366" i="6"/>
  <c r="I366" i="6"/>
  <c r="O365" i="6"/>
  <c r="N365" i="6"/>
  <c r="L365" i="6"/>
  <c r="M365" i="6" s="1"/>
  <c r="K365" i="6"/>
  <c r="J365" i="6"/>
  <c r="I365" i="6"/>
  <c r="O364" i="6"/>
  <c r="N364" i="6"/>
  <c r="L364" i="6"/>
  <c r="M364" i="6" s="1"/>
  <c r="K364" i="6"/>
  <c r="J364" i="6"/>
  <c r="I364" i="6"/>
  <c r="O363" i="6"/>
  <c r="N363" i="6"/>
  <c r="L363" i="6"/>
  <c r="M363" i="6" s="1"/>
  <c r="K363" i="6"/>
  <c r="J363" i="6"/>
  <c r="I363" i="6"/>
  <c r="O362" i="6"/>
  <c r="N362" i="6"/>
  <c r="L362" i="6"/>
  <c r="M362" i="6" s="1"/>
  <c r="K362" i="6"/>
  <c r="J362" i="6"/>
  <c r="I362" i="6"/>
  <c r="O361" i="6"/>
  <c r="N361" i="6"/>
  <c r="L361" i="6"/>
  <c r="M361" i="6" s="1"/>
  <c r="K361" i="6"/>
  <c r="J361" i="6"/>
  <c r="I361" i="6"/>
  <c r="O360" i="6"/>
  <c r="N360" i="6"/>
  <c r="L360" i="6"/>
  <c r="M360" i="6" s="1"/>
  <c r="K360" i="6"/>
  <c r="J360" i="6"/>
  <c r="I360" i="6"/>
  <c r="O359" i="6"/>
  <c r="N359" i="6"/>
  <c r="L359" i="6"/>
  <c r="M359" i="6" s="1"/>
  <c r="K359" i="6"/>
  <c r="J359" i="6"/>
  <c r="I359" i="6"/>
  <c r="O358" i="6"/>
  <c r="N358" i="6"/>
  <c r="L358" i="6"/>
  <c r="M358" i="6" s="1"/>
  <c r="K358" i="6"/>
  <c r="J358" i="6"/>
  <c r="I358" i="6"/>
  <c r="O357" i="6"/>
  <c r="N357" i="6"/>
  <c r="L357" i="6"/>
  <c r="M357" i="6" s="1"/>
  <c r="K357" i="6"/>
  <c r="J357" i="6"/>
  <c r="I357" i="6"/>
  <c r="O356" i="6"/>
  <c r="N356" i="6"/>
  <c r="L356" i="6"/>
  <c r="M356" i="6" s="1"/>
  <c r="K356" i="6"/>
  <c r="J356" i="6"/>
  <c r="I356" i="6"/>
  <c r="O355" i="6"/>
  <c r="N355" i="6"/>
  <c r="L355" i="6"/>
  <c r="M355" i="6" s="1"/>
  <c r="K355" i="6"/>
  <c r="J355" i="6"/>
  <c r="I355" i="6"/>
  <c r="O354" i="6"/>
  <c r="N354" i="6"/>
  <c r="L354" i="6"/>
  <c r="M354" i="6" s="1"/>
  <c r="K354" i="6"/>
  <c r="J354" i="6"/>
  <c r="I354" i="6"/>
  <c r="O353" i="6"/>
  <c r="N353" i="6"/>
  <c r="L353" i="6"/>
  <c r="M353" i="6" s="1"/>
  <c r="K353" i="6"/>
  <c r="J353" i="6"/>
  <c r="I353" i="6"/>
  <c r="O352" i="6"/>
  <c r="N352" i="6"/>
  <c r="L352" i="6"/>
  <c r="M352" i="6" s="1"/>
  <c r="K352" i="6"/>
  <c r="J352" i="6"/>
  <c r="I352" i="6"/>
  <c r="O351" i="6"/>
  <c r="N351" i="6"/>
  <c r="L351" i="6"/>
  <c r="M351" i="6" s="1"/>
  <c r="K351" i="6"/>
  <c r="J351" i="6"/>
  <c r="I351" i="6"/>
  <c r="O350" i="6"/>
  <c r="N350" i="6"/>
  <c r="L350" i="6"/>
  <c r="M350" i="6" s="1"/>
  <c r="K350" i="6"/>
  <c r="J350" i="6"/>
  <c r="I350" i="6"/>
  <c r="O349" i="6"/>
  <c r="N349" i="6"/>
  <c r="L349" i="6"/>
  <c r="M349" i="6" s="1"/>
  <c r="K349" i="6"/>
  <c r="J349" i="6"/>
  <c r="I349" i="6"/>
  <c r="O348" i="6"/>
  <c r="N348" i="6"/>
  <c r="L348" i="6"/>
  <c r="M348" i="6" s="1"/>
  <c r="K348" i="6"/>
  <c r="J348" i="6"/>
  <c r="I348" i="6"/>
  <c r="O347" i="6"/>
  <c r="N347" i="6"/>
  <c r="L347" i="6"/>
  <c r="M347" i="6" s="1"/>
  <c r="K347" i="6"/>
  <c r="J347" i="6"/>
  <c r="I347" i="6"/>
  <c r="O346" i="6"/>
  <c r="N346" i="6"/>
  <c r="L346" i="6"/>
  <c r="M346" i="6" s="1"/>
  <c r="K346" i="6"/>
  <c r="J346" i="6"/>
  <c r="I346" i="6"/>
  <c r="O345" i="6"/>
  <c r="N345" i="6"/>
  <c r="L345" i="6"/>
  <c r="M345" i="6" s="1"/>
  <c r="K345" i="6"/>
  <c r="J345" i="6"/>
  <c r="I345" i="6"/>
  <c r="O344" i="6"/>
  <c r="N344" i="6"/>
  <c r="L344" i="6"/>
  <c r="M344" i="6" s="1"/>
  <c r="K344" i="6"/>
  <c r="J344" i="6"/>
  <c r="I344" i="6"/>
  <c r="O343" i="6"/>
  <c r="N343" i="6"/>
  <c r="L343" i="6"/>
  <c r="M343" i="6" s="1"/>
  <c r="K343" i="6"/>
  <c r="J343" i="6"/>
  <c r="I343" i="6"/>
  <c r="O342" i="6"/>
  <c r="N342" i="6"/>
  <c r="L342" i="6"/>
  <c r="M342" i="6" s="1"/>
  <c r="K342" i="6"/>
  <c r="J342" i="6"/>
  <c r="I342" i="6"/>
  <c r="O341" i="6"/>
  <c r="N341" i="6"/>
  <c r="L341" i="6"/>
  <c r="M341" i="6" s="1"/>
  <c r="K341" i="6"/>
  <c r="J341" i="6"/>
  <c r="I341" i="6"/>
  <c r="O340" i="6"/>
  <c r="N340" i="6"/>
  <c r="L340" i="6"/>
  <c r="M340" i="6" s="1"/>
  <c r="K340" i="6"/>
  <c r="J340" i="6"/>
  <c r="I340" i="6"/>
  <c r="O339" i="6"/>
  <c r="N339" i="6"/>
  <c r="L339" i="6"/>
  <c r="M339" i="6" s="1"/>
  <c r="K339" i="6"/>
  <c r="J339" i="6"/>
  <c r="I339" i="6"/>
  <c r="O338" i="6"/>
  <c r="N338" i="6"/>
  <c r="L338" i="6"/>
  <c r="M338" i="6" s="1"/>
  <c r="K338" i="6"/>
  <c r="J338" i="6"/>
  <c r="I338" i="6"/>
  <c r="O337" i="6"/>
  <c r="N337" i="6"/>
  <c r="L337" i="6"/>
  <c r="M337" i="6" s="1"/>
  <c r="K337" i="6"/>
  <c r="J337" i="6"/>
  <c r="I337" i="6"/>
  <c r="O336" i="6"/>
  <c r="N336" i="6"/>
  <c r="L336" i="6"/>
  <c r="M336" i="6" s="1"/>
  <c r="K336" i="6"/>
  <c r="J336" i="6"/>
  <c r="I336" i="6"/>
  <c r="O335" i="6"/>
  <c r="N335" i="6"/>
  <c r="L335" i="6"/>
  <c r="M335" i="6" s="1"/>
  <c r="K335" i="6"/>
  <c r="J335" i="6"/>
  <c r="I335" i="6"/>
  <c r="O334" i="6"/>
  <c r="N334" i="6"/>
  <c r="L334" i="6"/>
  <c r="M334" i="6" s="1"/>
  <c r="K334" i="6"/>
  <c r="J334" i="6"/>
  <c r="I334" i="6"/>
  <c r="O333" i="6"/>
  <c r="N333" i="6"/>
  <c r="L333" i="6"/>
  <c r="M333" i="6" s="1"/>
  <c r="K333" i="6"/>
  <c r="J333" i="6"/>
  <c r="I333" i="6"/>
  <c r="O332" i="6"/>
  <c r="N332" i="6"/>
  <c r="L332" i="6"/>
  <c r="M332" i="6" s="1"/>
  <c r="K332" i="6"/>
  <c r="J332" i="6"/>
  <c r="I332" i="6"/>
  <c r="O331" i="6"/>
  <c r="N331" i="6"/>
  <c r="L331" i="6"/>
  <c r="M331" i="6" s="1"/>
  <c r="K331" i="6"/>
  <c r="J331" i="6"/>
  <c r="I331" i="6"/>
  <c r="O330" i="6"/>
  <c r="N330" i="6"/>
  <c r="L330" i="6"/>
  <c r="M330" i="6" s="1"/>
  <c r="K330" i="6"/>
  <c r="J330" i="6"/>
  <c r="I330" i="6"/>
  <c r="O329" i="6"/>
  <c r="N329" i="6"/>
  <c r="L329" i="6"/>
  <c r="M329" i="6" s="1"/>
  <c r="K329" i="6"/>
  <c r="J329" i="6"/>
  <c r="I329" i="6"/>
  <c r="O328" i="6"/>
  <c r="N328" i="6"/>
  <c r="L328" i="6"/>
  <c r="M328" i="6" s="1"/>
  <c r="K328" i="6"/>
  <c r="J328" i="6"/>
  <c r="I328" i="6"/>
  <c r="O327" i="6"/>
  <c r="N327" i="6"/>
  <c r="L327" i="6"/>
  <c r="M327" i="6" s="1"/>
  <c r="K327" i="6"/>
  <c r="J327" i="6"/>
  <c r="I327" i="6"/>
  <c r="O326" i="6"/>
  <c r="N326" i="6"/>
  <c r="L326" i="6"/>
  <c r="M326" i="6" s="1"/>
  <c r="K326" i="6"/>
  <c r="J326" i="6"/>
  <c r="I326" i="6"/>
  <c r="O325" i="6"/>
  <c r="N325" i="6"/>
  <c r="L325" i="6"/>
  <c r="M325" i="6" s="1"/>
  <c r="K325" i="6"/>
  <c r="J325" i="6"/>
  <c r="I325" i="6"/>
  <c r="O324" i="6"/>
  <c r="N324" i="6"/>
  <c r="L324" i="6"/>
  <c r="M324" i="6" s="1"/>
  <c r="K324" i="6"/>
  <c r="J324" i="6"/>
  <c r="I324" i="6"/>
  <c r="O323" i="6"/>
  <c r="N323" i="6"/>
  <c r="L323" i="6"/>
  <c r="M323" i="6" s="1"/>
  <c r="K323" i="6"/>
  <c r="J323" i="6"/>
  <c r="I323" i="6"/>
  <c r="O322" i="6"/>
  <c r="N322" i="6"/>
  <c r="L322" i="6"/>
  <c r="M322" i="6" s="1"/>
  <c r="K322" i="6"/>
  <c r="J322" i="6"/>
  <c r="I322" i="6"/>
  <c r="O321" i="6"/>
  <c r="N321" i="6"/>
  <c r="L321" i="6"/>
  <c r="M321" i="6" s="1"/>
  <c r="K321" i="6"/>
  <c r="J321" i="6"/>
  <c r="I321" i="6"/>
  <c r="O320" i="6"/>
  <c r="N320" i="6"/>
  <c r="L320" i="6"/>
  <c r="M320" i="6" s="1"/>
  <c r="K320" i="6"/>
  <c r="J320" i="6"/>
  <c r="I320" i="6"/>
  <c r="O319" i="6"/>
  <c r="N319" i="6"/>
  <c r="L319" i="6"/>
  <c r="M319" i="6" s="1"/>
  <c r="K319" i="6"/>
  <c r="J319" i="6"/>
  <c r="I319" i="6"/>
  <c r="O318" i="6"/>
  <c r="N318" i="6"/>
  <c r="L318" i="6"/>
  <c r="M318" i="6" s="1"/>
  <c r="K318" i="6"/>
  <c r="J318" i="6"/>
  <c r="I318" i="6"/>
  <c r="O317" i="6"/>
  <c r="N317" i="6"/>
  <c r="L317" i="6"/>
  <c r="M317" i="6" s="1"/>
  <c r="K317" i="6"/>
  <c r="J317" i="6"/>
  <c r="I317" i="6"/>
  <c r="O316" i="6"/>
  <c r="N316" i="6"/>
  <c r="L316" i="6"/>
  <c r="M316" i="6" s="1"/>
  <c r="K316" i="6"/>
  <c r="J316" i="6"/>
  <c r="I316" i="6"/>
  <c r="O315" i="6"/>
  <c r="N315" i="6"/>
  <c r="L315" i="6"/>
  <c r="M315" i="6" s="1"/>
  <c r="K315" i="6"/>
  <c r="J315" i="6"/>
  <c r="I315" i="6"/>
  <c r="O314" i="6"/>
  <c r="N314" i="6"/>
  <c r="L314" i="6"/>
  <c r="M314" i="6" s="1"/>
  <c r="K314" i="6"/>
  <c r="J314" i="6"/>
  <c r="I314" i="6"/>
  <c r="O313" i="6"/>
  <c r="N313" i="6"/>
  <c r="L313" i="6"/>
  <c r="M313" i="6" s="1"/>
  <c r="K313" i="6"/>
  <c r="J313" i="6"/>
  <c r="I313" i="6"/>
  <c r="O312" i="6"/>
  <c r="N312" i="6"/>
  <c r="L312" i="6"/>
  <c r="M312" i="6" s="1"/>
  <c r="K312" i="6"/>
  <c r="J312" i="6"/>
  <c r="I312" i="6"/>
  <c r="O311" i="6"/>
  <c r="N311" i="6"/>
  <c r="L311" i="6"/>
  <c r="M311" i="6" s="1"/>
  <c r="K311" i="6"/>
  <c r="J311" i="6"/>
  <c r="I311" i="6"/>
  <c r="O310" i="6"/>
  <c r="N310" i="6"/>
  <c r="L310" i="6"/>
  <c r="M310" i="6" s="1"/>
  <c r="K310" i="6"/>
  <c r="J310" i="6"/>
  <c r="I310" i="6"/>
  <c r="O309" i="6"/>
  <c r="N309" i="6"/>
  <c r="L309" i="6"/>
  <c r="M309" i="6" s="1"/>
  <c r="K309" i="6"/>
  <c r="J309" i="6"/>
  <c r="I309" i="6"/>
  <c r="O308" i="6"/>
  <c r="N308" i="6"/>
  <c r="L308" i="6"/>
  <c r="M308" i="6" s="1"/>
  <c r="K308" i="6"/>
  <c r="J308" i="6"/>
  <c r="I308" i="6"/>
  <c r="O307" i="6"/>
  <c r="N307" i="6"/>
  <c r="L307" i="6"/>
  <c r="M307" i="6" s="1"/>
  <c r="K307" i="6"/>
  <c r="J307" i="6"/>
  <c r="I307" i="6"/>
  <c r="O306" i="6"/>
  <c r="N306" i="6"/>
  <c r="L306" i="6"/>
  <c r="M306" i="6" s="1"/>
  <c r="K306" i="6"/>
  <c r="J306" i="6"/>
  <c r="I306" i="6"/>
  <c r="O305" i="6"/>
  <c r="N305" i="6"/>
  <c r="L305" i="6"/>
  <c r="M305" i="6" s="1"/>
  <c r="K305" i="6"/>
  <c r="J305" i="6"/>
  <c r="I305" i="6"/>
  <c r="O304" i="6"/>
  <c r="N304" i="6"/>
  <c r="L304" i="6"/>
  <c r="M304" i="6" s="1"/>
  <c r="K304" i="6"/>
  <c r="J304" i="6"/>
  <c r="I304" i="6"/>
  <c r="O303" i="6"/>
  <c r="N303" i="6"/>
  <c r="L303" i="6"/>
  <c r="M303" i="6" s="1"/>
  <c r="K303" i="6"/>
  <c r="J303" i="6"/>
  <c r="I303" i="6"/>
  <c r="O302" i="6"/>
  <c r="N302" i="6"/>
  <c r="L302" i="6"/>
  <c r="M302" i="6" s="1"/>
  <c r="K302" i="6"/>
  <c r="J302" i="6"/>
  <c r="I302" i="6"/>
  <c r="O301" i="6"/>
  <c r="N301" i="6"/>
  <c r="L301" i="6"/>
  <c r="M301" i="6" s="1"/>
  <c r="K301" i="6"/>
  <c r="J301" i="6"/>
  <c r="I301" i="6"/>
  <c r="O300" i="6"/>
  <c r="N300" i="6"/>
  <c r="L300" i="6"/>
  <c r="M300" i="6" s="1"/>
  <c r="K300" i="6"/>
  <c r="J300" i="6"/>
  <c r="I300" i="6"/>
  <c r="O299" i="6"/>
  <c r="N299" i="6"/>
  <c r="L299" i="6"/>
  <c r="M299" i="6" s="1"/>
  <c r="K299" i="6"/>
  <c r="J299" i="6"/>
  <c r="I299" i="6"/>
  <c r="O298" i="6"/>
  <c r="N298" i="6"/>
  <c r="L298" i="6"/>
  <c r="M298" i="6" s="1"/>
  <c r="K298" i="6"/>
  <c r="J298" i="6"/>
  <c r="I298" i="6"/>
  <c r="O297" i="6"/>
  <c r="N297" i="6"/>
  <c r="L297" i="6"/>
  <c r="M297" i="6" s="1"/>
  <c r="K297" i="6"/>
  <c r="J297" i="6"/>
  <c r="I297" i="6"/>
  <c r="O296" i="6"/>
  <c r="N296" i="6"/>
  <c r="L296" i="6"/>
  <c r="M296" i="6" s="1"/>
  <c r="K296" i="6"/>
  <c r="J296" i="6"/>
  <c r="I296" i="6"/>
  <c r="O295" i="6"/>
  <c r="N295" i="6"/>
  <c r="L295" i="6"/>
  <c r="M295" i="6" s="1"/>
  <c r="K295" i="6"/>
  <c r="J295" i="6"/>
  <c r="I295" i="6"/>
  <c r="O294" i="6"/>
  <c r="N294" i="6"/>
  <c r="L294" i="6"/>
  <c r="M294" i="6" s="1"/>
  <c r="K294" i="6"/>
  <c r="J294" i="6"/>
  <c r="I294" i="6"/>
  <c r="O293" i="6"/>
  <c r="N293" i="6"/>
  <c r="L293" i="6"/>
  <c r="M293" i="6" s="1"/>
  <c r="K293" i="6"/>
  <c r="J293" i="6"/>
  <c r="I293" i="6"/>
  <c r="O292" i="6"/>
  <c r="N292" i="6"/>
  <c r="L292" i="6"/>
  <c r="M292" i="6" s="1"/>
  <c r="K292" i="6"/>
  <c r="J292" i="6"/>
  <c r="I292" i="6"/>
  <c r="O291" i="6"/>
  <c r="N291" i="6"/>
  <c r="L291" i="6"/>
  <c r="M291" i="6" s="1"/>
  <c r="K291" i="6"/>
  <c r="J291" i="6"/>
  <c r="I291" i="6"/>
  <c r="O290" i="6"/>
  <c r="N290" i="6"/>
  <c r="L290" i="6"/>
  <c r="M290" i="6" s="1"/>
  <c r="K290" i="6"/>
  <c r="J290" i="6"/>
  <c r="I290" i="6"/>
  <c r="O289" i="6"/>
  <c r="N289" i="6"/>
  <c r="L289" i="6"/>
  <c r="M289" i="6" s="1"/>
  <c r="K289" i="6"/>
  <c r="J289" i="6"/>
  <c r="I289" i="6"/>
  <c r="O288" i="6"/>
  <c r="N288" i="6"/>
  <c r="L288" i="6"/>
  <c r="M288" i="6" s="1"/>
  <c r="K288" i="6"/>
  <c r="J288" i="6"/>
  <c r="I288" i="6"/>
  <c r="O287" i="6"/>
  <c r="N287" i="6"/>
  <c r="L287" i="6"/>
  <c r="M287" i="6" s="1"/>
  <c r="K287" i="6"/>
  <c r="J287" i="6"/>
  <c r="I287" i="6"/>
  <c r="O286" i="6"/>
  <c r="N286" i="6"/>
  <c r="L286" i="6"/>
  <c r="M286" i="6" s="1"/>
  <c r="K286" i="6"/>
  <c r="J286" i="6"/>
  <c r="I286" i="6"/>
  <c r="O285" i="6"/>
  <c r="N285" i="6"/>
  <c r="L285" i="6"/>
  <c r="M285" i="6" s="1"/>
  <c r="K285" i="6"/>
  <c r="J285" i="6"/>
  <c r="I285" i="6"/>
  <c r="O284" i="6"/>
  <c r="N284" i="6"/>
  <c r="L284" i="6"/>
  <c r="M284" i="6" s="1"/>
  <c r="K284" i="6"/>
  <c r="J284" i="6"/>
  <c r="I284" i="6"/>
  <c r="O283" i="6"/>
  <c r="N283" i="6"/>
  <c r="L283" i="6"/>
  <c r="M283" i="6" s="1"/>
  <c r="K283" i="6"/>
  <c r="J283" i="6"/>
  <c r="I283" i="6"/>
  <c r="O282" i="6"/>
  <c r="N282" i="6"/>
  <c r="L282" i="6"/>
  <c r="M282" i="6" s="1"/>
  <c r="K282" i="6"/>
  <c r="J282" i="6"/>
  <c r="I282" i="6"/>
  <c r="O281" i="6"/>
  <c r="N281" i="6"/>
  <c r="L281" i="6"/>
  <c r="M281" i="6" s="1"/>
  <c r="K281" i="6"/>
  <c r="J281" i="6"/>
  <c r="I281" i="6"/>
  <c r="O280" i="6"/>
  <c r="N280" i="6"/>
  <c r="L280" i="6"/>
  <c r="M280" i="6" s="1"/>
  <c r="K280" i="6"/>
  <c r="J280" i="6"/>
  <c r="I280" i="6"/>
  <c r="O279" i="6"/>
  <c r="N279" i="6"/>
  <c r="L279" i="6"/>
  <c r="M279" i="6" s="1"/>
  <c r="K279" i="6"/>
  <c r="J279" i="6"/>
  <c r="I279" i="6"/>
  <c r="O278" i="6"/>
  <c r="N278" i="6"/>
  <c r="L278" i="6"/>
  <c r="M278" i="6" s="1"/>
  <c r="K278" i="6"/>
  <c r="J278" i="6"/>
  <c r="I278" i="6"/>
  <c r="O277" i="6"/>
  <c r="N277" i="6"/>
  <c r="L277" i="6"/>
  <c r="M277" i="6" s="1"/>
  <c r="K277" i="6"/>
  <c r="J277" i="6"/>
  <c r="I277" i="6"/>
  <c r="O276" i="6"/>
  <c r="N276" i="6"/>
  <c r="L276" i="6"/>
  <c r="M276" i="6" s="1"/>
  <c r="K276" i="6"/>
  <c r="J276" i="6"/>
  <c r="I276" i="6"/>
  <c r="O275" i="6"/>
  <c r="N275" i="6"/>
  <c r="L275" i="6"/>
  <c r="M275" i="6" s="1"/>
  <c r="K275" i="6"/>
  <c r="J275" i="6"/>
  <c r="I275" i="6"/>
  <c r="O274" i="6"/>
  <c r="N274" i="6"/>
  <c r="L274" i="6"/>
  <c r="M274" i="6" s="1"/>
  <c r="K274" i="6"/>
  <c r="J274" i="6"/>
  <c r="I274" i="6"/>
  <c r="O273" i="6"/>
  <c r="N273" i="6"/>
  <c r="L273" i="6"/>
  <c r="M273" i="6" s="1"/>
  <c r="K273" i="6"/>
  <c r="J273" i="6"/>
  <c r="I273" i="6"/>
  <c r="O272" i="6"/>
  <c r="N272" i="6"/>
  <c r="L272" i="6"/>
  <c r="M272" i="6" s="1"/>
  <c r="K272" i="6"/>
  <c r="J272" i="6"/>
  <c r="I272" i="6"/>
  <c r="O271" i="6"/>
  <c r="N271" i="6"/>
  <c r="L271" i="6"/>
  <c r="M271" i="6" s="1"/>
  <c r="K271" i="6"/>
  <c r="J271" i="6"/>
  <c r="I271" i="6"/>
  <c r="O270" i="6"/>
  <c r="N270" i="6"/>
  <c r="L270" i="6"/>
  <c r="M270" i="6" s="1"/>
  <c r="K270" i="6"/>
  <c r="J270" i="6"/>
  <c r="I270" i="6"/>
  <c r="O269" i="6"/>
  <c r="N269" i="6"/>
  <c r="L269" i="6"/>
  <c r="M269" i="6" s="1"/>
  <c r="K269" i="6"/>
  <c r="J269" i="6"/>
  <c r="I269" i="6"/>
  <c r="O268" i="6"/>
  <c r="N268" i="6"/>
  <c r="L268" i="6"/>
  <c r="M268" i="6" s="1"/>
  <c r="K268" i="6"/>
  <c r="J268" i="6"/>
  <c r="I268" i="6"/>
  <c r="O267" i="6"/>
  <c r="N267" i="6"/>
  <c r="L267" i="6"/>
  <c r="M267" i="6" s="1"/>
  <c r="K267" i="6"/>
  <c r="J267" i="6"/>
  <c r="I267" i="6"/>
  <c r="O266" i="6"/>
  <c r="N266" i="6"/>
  <c r="L266" i="6"/>
  <c r="M266" i="6" s="1"/>
  <c r="K266" i="6"/>
  <c r="J266" i="6"/>
  <c r="I266" i="6"/>
  <c r="O265" i="6"/>
  <c r="N265" i="6"/>
  <c r="L265" i="6"/>
  <c r="M265" i="6" s="1"/>
  <c r="K265" i="6"/>
  <c r="J265" i="6"/>
  <c r="I265" i="6"/>
  <c r="O264" i="6"/>
  <c r="N264" i="6"/>
  <c r="L264" i="6"/>
  <c r="M264" i="6" s="1"/>
  <c r="K264" i="6"/>
  <c r="J264" i="6"/>
  <c r="I264" i="6"/>
  <c r="O263" i="6"/>
  <c r="N263" i="6"/>
  <c r="L263" i="6"/>
  <c r="M263" i="6" s="1"/>
  <c r="K263" i="6"/>
  <c r="J263" i="6"/>
  <c r="I263" i="6"/>
  <c r="O262" i="6"/>
  <c r="N262" i="6"/>
  <c r="L262" i="6"/>
  <c r="M262" i="6" s="1"/>
  <c r="K262" i="6"/>
  <c r="J262" i="6"/>
  <c r="I262" i="6"/>
  <c r="O261" i="6"/>
  <c r="N261" i="6"/>
  <c r="L261" i="6"/>
  <c r="M261" i="6" s="1"/>
  <c r="K261" i="6"/>
  <c r="J261" i="6"/>
  <c r="I261" i="6"/>
  <c r="O260" i="6"/>
  <c r="N260" i="6"/>
  <c r="L260" i="6"/>
  <c r="M260" i="6" s="1"/>
  <c r="K260" i="6"/>
  <c r="J260" i="6"/>
  <c r="I260" i="6"/>
  <c r="O259" i="6"/>
  <c r="N259" i="6"/>
  <c r="L259" i="6"/>
  <c r="M259" i="6" s="1"/>
  <c r="K259" i="6"/>
  <c r="J259" i="6"/>
  <c r="I259" i="6"/>
  <c r="O258" i="6"/>
  <c r="N258" i="6"/>
  <c r="L258" i="6"/>
  <c r="M258" i="6" s="1"/>
  <c r="K258" i="6"/>
  <c r="J258" i="6"/>
  <c r="I258" i="6"/>
  <c r="O257" i="6"/>
  <c r="N257" i="6"/>
  <c r="L257" i="6"/>
  <c r="M257" i="6" s="1"/>
  <c r="K257" i="6"/>
  <c r="J257" i="6"/>
  <c r="I257" i="6"/>
  <c r="O256" i="6"/>
  <c r="N256" i="6"/>
  <c r="L256" i="6"/>
  <c r="M256" i="6" s="1"/>
  <c r="K256" i="6"/>
  <c r="J256" i="6"/>
  <c r="I256" i="6"/>
  <c r="O255" i="6"/>
  <c r="N255" i="6"/>
  <c r="L255" i="6"/>
  <c r="M255" i="6" s="1"/>
  <c r="K255" i="6"/>
  <c r="J255" i="6"/>
  <c r="I255" i="6"/>
  <c r="O254" i="6"/>
  <c r="N254" i="6"/>
  <c r="L254" i="6"/>
  <c r="M254" i="6" s="1"/>
  <c r="K254" i="6"/>
  <c r="J254" i="6"/>
  <c r="I254" i="6"/>
  <c r="O253" i="6"/>
  <c r="N253" i="6"/>
  <c r="L253" i="6"/>
  <c r="M253" i="6" s="1"/>
  <c r="K253" i="6"/>
  <c r="J253" i="6"/>
  <c r="I253" i="6"/>
  <c r="O252" i="6"/>
  <c r="N252" i="6"/>
  <c r="L252" i="6"/>
  <c r="M252" i="6" s="1"/>
  <c r="K252" i="6"/>
  <c r="J252" i="6"/>
  <c r="I252" i="6"/>
  <c r="O251" i="6"/>
  <c r="N251" i="6"/>
  <c r="L251" i="6"/>
  <c r="M251" i="6" s="1"/>
  <c r="K251" i="6"/>
  <c r="J251" i="6"/>
  <c r="I251" i="6"/>
  <c r="O250" i="6"/>
  <c r="N250" i="6"/>
  <c r="L250" i="6"/>
  <c r="M250" i="6" s="1"/>
  <c r="K250" i="6"/>
  <c r="J250" i="6"/>
  <c r="I250" i="6"/>
  <c r="O249" i="6"/>
  <c r="N249" i="6"/>
  <c r="L249" i="6"/>
  <c r="M249" i="6" s="1"/>
  <c r="K249" i="6"/>
  <c r="J249" i="6"/>
  <c r="I249" i="6"/>
  <c r="O248" i="6"/>
  <c r="N248" i="6"/>
  <c r="L248" i="6"/>
  <c r="M248" i="6" s="1"/>
  <c r="K248" i="6"/>
  <c r="J248" i="6"/>
  <c r="I248" i="6"/>
  <c r="O247" i="6"/>
  <c r="N247" i="6"/>
  <c r="L247" i="6"/>
  <c r="M247" i="6" s="1"/>
  <c r="K247" i="6"/>
  <c r="J247" i="6"/>
  <c r="I247" i="6"/>
  <c r="O246" i="6"/>
  <c r="N246" i="6"/>
  <c r="L246" i="6"/>
  <c r="M246" i="6" s="1"/>
  <c r="K246" i="6"/>
  <c r="J246" i="6"/>
  <c r="I246" i="6"/>
  <c r="O245" i="6"/>
  <c r="N245" i="6"/>
  <c r="L245" i="6"/>
  <c r="M245" i="6" s="1"/>
  <c r="K245" i="6"/>
  <c r="J245" i="6"/>
  <c r="I245" i="6"/>
  <c r="O244" i="6"/>
  <c r="N244" i="6"/>
  <c r="L244" i="6"/>
  <c r="M244" i="6" s="1"/>
  <c r="K244" i="6"/>
  <c r="J244" i="6"/>
  <c r="I244" i="6"/>
  <c r="O243" i="6"/>
  <c r="N243" i="6"/>
  <c r="L243" i="6"/>
  <c r="M243" i="6" s="1"/>
  <c r="K243" i="6"/>
  <c r="J243" i="6"/>
  <c r="I243" i="6"/>
  <c r="O242" i="6"/>
  <c r="N242" i="6"/>
  <c r="L242" i="6"/>
  <c r="M242" i="6" s="1"/>
  <c r="K242" i="6"/>
  <c r="J242" i="6"/>
  <c r="I242" i="6"/>
  <c r="O241" i="6"/>
  <c r="N241" i="6"/>
  <c r="L241" i="6"/>
  <c r="M241" i="6" s="1"/>
  <c r="K241" i="6"/>
  <c r="J241" i="6"/>
  <c r="I241" i="6"/>
  <c r="O240" i="6"/>
  <c r="N240" i="6"/>
  <c r="L240" i="6"/>
  <c r="M240" i="6" s="1"/>
  <c r="K240" i="6"/>
  <c r="J240" i="6"/>
  <c r="I240" i="6"/>
  <c r="O239" i="6"/>
  <c r="N239" i="6"/>
  <c r="L239" i="6"/>
  <c r="M239" i="6" s="1"/>
  <c r="K239" i="6"/>
  <c r="J239" i="6"/>
  <c r="I239" i="6"/>
  <c r="O238" i="6"/>
  <c r="N238" i="6"/>
  <c r="L238" i="6"/>
  <c r="M238" i="6" s="1"/>
  <c r="K238" i="6"/>
  <c r="J238" i="6"/>
  <c r="I238" i="6"/>
  <c r="O237" i="6"/>
  <c r="N237" i="6"/>
  <c r="L237" i="6"/>
  <c r="M237" i="6" s="1"/>
  <c r="K237" i="6"/>
  <c r="J237" i="6"/>
  <c r="I237" i="6"/>
  <c r="O236" i="6"/>
  <c r="N236" i="6"/>
  <c r="L236" i="6"/>
  <c r="M236" i="6" s="1"/>
  <c r="K236" i="6"/>
  <c r="J236" i="6"/>
  <c r="I236" i="6"/>
  <c r="O235" i="6"/>
  <c r="N235" i="6"/>
  <c r="L235" i="6"/>
  <c r="M235" i="6" s="1"/>
  <c r="K235" i="6"/>
  <c r="J235" i="6"/>
  <c r="I235" i="6"/>
  <c r="O234" i="6"/>
  <c r="N234" i="6"/>
  <c r="L234" i="6"/>
  <c r="M234" i="6" s="1"/>
  <c r="K234" i="6"/>
  <c r="J234" i="6"/>
  <c r="I234" i="6"/>
  <c r="O233" i="6"/>
  <c r="N233" i="6"/>
  <c r="L233" i="6"/>
  <c r="M233" i="6" s="1"/>
  <c r="K233" i="6"/>
  <c r="J233" i="6"/>
  <c r="I233" i="6"/>
  <c r="O232" i="6"/>
  <c r="N232" i="6"/>
  <c r="L232" i="6"/>
  <c r="M232" i="6" s="1"/>
  <c r="K232" i="6"/>
  <c r="J232" i="6"/>
  <c r="I232" i="6"/>
  <c r="O231" i="6"/>
  <c r="N231" i="6"/>
  <c r="L231" i="6"/>
  <c r="M231" i="6" s="1"/>
  <c r="K231" i="6"/>
  <c r="J231" i="6"/>
  <c r="I231" i="6"/>
  <c r="O230" i="6"/>
  <c r="N230" i="6"/>
  <c r="L230" i="6"/>
  <c r="M230" i="6" s="1"/>
  <c r="K230" i="6"/>
  <c r="J230" i="6"/>
  <c r="I230" i="6"/>
  <c r="O229" i="6"/>
  <c r="N229" i="6"/>
  <c r="L229" i="6"/>
  <c r="M229" i="6" s="1"/>
  <c r="K229" i="6"/>
  <c r="J229" i="6"/>
  <c r="I229" i="6"/>
  <c r="O228" i="6"/>
  <c r="N228" i="6"/>
  <c r="L228" i="6"/>
  <c r="M228" i="6" s="1"/>
  <c r="K228" i="6"/>
  <c r="J228" i="6"/>
  <c r="I228" i="6"/>
  <c r="O227" i="6"/>
  <c r="N227" i="6"/>
  <c r="L227" i="6"/>
  <c r="M227" i="6" s="1"/>
  <c r="K227" i="6"/>
  <c r="J227" i="6"/>
  <c r="I227" i="6"/>
  <c r="O226" i="6"/>
  <c r="N226" i="6"/>
  <c r="L226" i="6"/>
  <c r="M226" i="6" s="1"/>
  <c r="K226" i="6"/>
  <c r="J226" i="6"/>
  <c r="I226" i="6"/>
  <c r="O225" i="6"/>
  <c r="N225" i="6"/>
  <c r="L225" i="6"/>
  <c r="M225" i="6" s="1"/>
  <c r="K225" i="6"/>
  <c r="J225" i="6"/>
  <c r="I225" i="6"/>
  <c r="O224" i="6"/>
  <c r="N224" i="6"/>
  <c r="L224" i="6"/>
  <c r="M224" i="6" s="1"/>
  <c r="K224" i="6"/>
  <c r="J224" i="6"/>
  <c r="I224" i="6"/>
  <c r="O223" i="6"/>
  <c r="N223" i="6"/>
  <c r="L223" i="6"/>
  <c r="M223" i="6" s="1"/>
  <c r="K223" i="6"/>
  <c r="J223" i="6"/>
  <c r="I223" i="6"/>
  <c r="O222" i="6"/>
  <c r="N222" i="6"/>
  <c r="L222" i="6"/>
  <c r="M222" i="6" s="1"/>
  <c r="K222" i="6"/>
  <c r="J222" i="6"/>
  <c r="I222" i="6"/>
  <c r="O221" i="6"/>
  <c r="N221" i="6"/>
  <c r="L221" i="6"/>
  <c r="M221" i="6" s="1"/>
  <c r="K221" i="6"/>
  <c r="J221" i="6"/>
  <c r="I221" i="6"/>
  <c r="O220" i="6"/>
  <c r="N220" i="6"/>
  <c r="L220" i="6"/>
  <c r="M220" i="6" s="1"/>
  <c r="K220" i="6"/>
  <c r="J220" i="6"/>
  <c r="I220" i="6"/>
  <c r="O219" i="6"/>
  <c r="N219" i="6"/>
  <c r="L219" i="6"/>
  <c r="M219" i="6" s="1"/>
  <c r="K219" i="6"/>
  <c r="J219" i="6"/>
  <c r="I219" i="6"/>
  <c r="O218" i="6"/>
  <c r="N218" i="6"/>
  <c r="L218" i="6"/>
  <c r="M218" i="6" s="1"/>
  <c r="K218" i="6"/>
  <c r="J218" i="6"/>
  <c r="I218" i="6"/>
  <c r="O217" i="6"/>
  <c r="N217" i="6"/>
  <c r="L217" i="6"/>
  <c r="M217" i="6" s="1"/>
  <c r="K217" i="6"/>
  <c r="J217" i="6"/>
  <c r="I217" i="6"/>
  <c r="O216" i="6"/>
  <c r="N216" i="6"/>
  <c r="L216" i="6"/>
  <c r="M216" i="6" s="1"/>
  <c r="K216" i="6"/>
  <c r="J216" i="6"/>
  <c r="I216" i="6"/>
  <c r="O215" i="6"/>
  <c r="N215" i="6"/>
  <c r="L215" i="6"/>
  <c r="M215" i="6" s="1"/>
  <c r="K215" i="6"/>
  <c r="J215" i="6"/>
  <c r="I215" i="6"/>
  <c r="O214" i="6"/>
  <c r="N214" i="6"/>
  <c r="L214" i="6"/>
  <c r="M214" i="6" s="1"/>
  <c r="K214" i="6"/>
  <c r="J214" i="6"/>
  <c r="I214" i="6"/>
  <c r="O213" i="6"/>
  <c r="N213" i="6"/>
  <c r="L213" i="6"/>
  <c r="M213" i="6" s="1"/>
  <c r="K213" i="6"/>
  <c r="J213" i="6"/>
  <c r="I213" i="6"/>
  <c r="O212" i="6"/>
  <c r="N212" i="6"/>
  <c r="L212" i="6"/>
  <c r="M212" i="6" s="1"/>
  <c r="K212" i="6"/>
  <c r="J212" i="6"/>
  <c r="I212" i="6"/>
  <c r="O211" i="6"/>
  <c r="N211" i="6"/>
  <c r="L211" i="6"/>
  <c r="M211" i="6" s="1"/>
  <c r="K211" i="6"/>
  <c r="J211" i="6"/>
  <c r="I211" i="6"/>
  <c r="O210" i="6"/>
  <c r="N210" i="6"/>
  <c r="L210" i="6"/>
  <c r="M210" i="6" s="1"/>
  <c r="K210" i="6"/>
  <c r="J210" i="6"/>
  <c r="I210" i="6"/>
  <c r="O209" i="6"/>
  <c r="N209" i="6"/>
  <c r="L209" i="6"/>
  <c r="M209" i="6" s="1"/>
  <c r="K209" i="6"/>
  <c r="J209" i="6"/>
  <c r="I209" i="6"/>
  <c r="O208" i="6"/>
  <c r="N208" i="6"/>
  <c r="L208" i="6"/>
  <c r="M208" i="6" s="1"/>
  <c r="K208" i="6"/>
  <c r="J208" i="6"/>
  <c r="I208" i="6"/>
  <c r="O207" i="6"/>
  <c r="N207" i="6"/>
  <c r="L207" i="6"/>
  <c r="M207" i="6" s="1"/>
  <c r="K207" i="6"/>
  <c r="J207" i="6"/>
  <c r="I207" i="6"/>
  <c r="O206" i="6"/>
  <c r="N206" i="6"/>
  <c r="L206" i="6"/>
  <c r="M206" i="6" s="1"/>
  <c r="K206" i="6"/>
  <c r="J206" i="6"/>
  <c r="I206" i="6"/>
  <c r="O205" i="6"/>
  <c r="N205" i="6"/>
  <c r="L205" i="6"/>
  <c r="M205" i="6" s="1"/>
  <c r="K205" i="6"/>
  <c r="J205" i="6"/>
  <c r="I205" i="6"/>
  <c r="O204" i="6"/>
  <c r="N204" i="6"/>
  <c r="L204" i="6"/>
  <c r="M204" i="6" s="1"/>
  <c r="K204" i="6"/>
  <c r="J204" i="6"/>
  <c r="I204" i="6"/>
  <c r="O203" i="6"/>
  <c r="N203" i="6"/>
  <c r="L203" i="6"/>
  <c r="M203" i="6" s="1"/>
  <c r="K203" i="6"/>
  <c r="J203" i="6"/>
  <c r="I203" i="6"/>
  <c r="O202" i="6"/>
  <c r="N202" i="6"/>
  <c r="L202" i="6"/>
  <c r="M202" i="6" s="1"/>
  <c r="K202" i="6"/>
  <c r="J202" i="6"/>
  <c r="I202" i="6"/>
  <c r="O201" i="6"/>
  <c r="N201" i="6"/>
  <c r="L201" i="6"/>
  <c r="M201" i="6" s="1"/>
  <c r="K201" i="6"/>
  <c r="J201" i="6"/>
  <c r="I201" i="6"/>
  <c r="O200" i="6"/>
  <c r="N200" i="6"/>
  <c r="L200" i="6"/>
  <c r="M200" i="6" s="1"/>
  <c r="K200" i="6"/>
  <c r="J200" i="6"/>
  <c r="I200" i="6"/>
  <c r="O199" i="6"/>
  <c r="N199" i="6"/>
  <c r="L199" i="6"/>
  <c r="M199" i="6" s="1"/>
  <c r="K199" i="6"/>
  <c r="J199" i="6"/>
  <c r="I199" i="6"/>
  <c r="O198" i="6"/>
  <c r="N198" i="6"/>
  <c r="L198" i="6"/>
  <c r="M198" i="6" s="1"/>
  <c r="K198" i="6"/>
  <c r="J198" i="6"/>
  <c r="I198" i="6"/>
  <c r="O197" i="6"/>
  <c r="N197" i="6"/>
  <c r="L197" i="6"/>
  <c r="M197" i="6" s="1"/>
  <c r="K197" i="6"/>
  <c r="J197" i="6"/>
  <c r="I197" i="6"/>
  <c r="O196" i="6"/>
  <c r="N196" i="6"/>
  <c r="L196" i="6"/>
  <c r="M196" i="6" s="1"/>
  <c r="K196" i="6"/>
  <c r="J196" i="6"/>
  <c r="I196" i="6"/>
  <c r="O195" i="6"/>
  <c r="N195" i="6"/>
  <c r="L195" i="6"/>
  <c r="M195" i="6" s="1"/>
  <c r="K195" i="6"/>
  <c r="J195" i="6"/>
  <c r="I195" i="6"/>
  <c r="O194" i="6"/>
  <c r="N194" i="6"/>
  <c r="L194" i="6"/>
  <c r="M194" i="6" s="1"/>
  <c r="K194" i="6"/>
  <c r="J194" i="6"/>
  <c r="I194" i="6"/>
  <c r="O193" i="6"/>
  <c r="N193" i="6"/>
  <c r="L193" i="6"/>
  <c r="M193" i="6" s="1"/>
  <c r="K193" i="6"/>
  <c r="J193" i="6"/>
  <c r="I193" i="6"/>
  <c r="O192" i="6"/>
  <c r="N192" i="6"/>
  <c r="L192" i="6"/>
  <c r="M192" i="6" s="1"/>
  <c r="K192" i="6"/>
  <c r="J192" i="6"/>
  <c r="I192" i="6"/>
  <c r="O191" i="6"/>
  <c r="N191" i="6"/>
  <c r="L191" i="6"/>
  <c r="M191" i="6" s="1"/>
  <c r="K191" i="6"/>
  <c r="J191" i="6"/>
  <c r="I191" i="6"/>
  <c r="O190" i="6"/>
  <c r="N190" i="6"/>
  <c r="L190" i="6"/>
  <c r="M190" i="6" s="1"/>
  <c r="K190" i="6"/>
  <c r="J190" i="6"/>
  <c r="I190" i="6"/>
  <c r="O189" i="6"/>
  <c r="N189" i="6"/>
  <c r="L189" i="6"/>
  <c r="M189" i="6" s="1"/>
  <c r="K189" i="6"/>
  <c r="J189" i="6"/>
  <c r="I189" i="6"/>
  <c r="O188" i="6"/>
  <c r="N188" i="6"/>
  <c r="L188" i="6"/>
  <c r="M188" i="6" s="1"/>
  <c r="K188" i="6"/>
  <c r="J188" i="6"/>
  <c r="I188" i="6"/>
  <c r="O187" i="6"/>
  <c r="N187" i="6"/>
  <c r="L187" i="6"/>
  <c r="M187" i="6" s="1"/>
  <c r="K187" i="6"/>
  <c r="J187" i="6"/>
  <c r="I187" i="6"/>
  <c r="O186" i="6"/>
  <c r="N186" i="6"/>
  <c r="L186" i="6"/>
  <c r="M186" i="6" s="1"/>
  <c r="K186" i="6"/>
  <c r="J186" i="6"/>
  <c r="I186" i="6"/>
  <c r="O185" i="6"/>
  <c r="N185" i="6"/>
  <c r="L185" i="6"/>
  <c r="M185" i="6" s="1"/>
  <c r="K185" i="6"/>
  <c r="J185" i="6"/>
  <c r="I185" i="6"/>
  <c r="O184" i="6"/>
  <c r="N184" i="6"/>
  <c r="L184" i="6"/>
  <c r="M184" i="6" s="1"/>
  <c r="K184" i="6"/>
  <c r="J184" i="6"/>
  <c r="I184" i="6"/>
  <c r="O183" i="6"/>
  <c r="N183" i="6"/>
  <c r="L183" i="6"/>
  <c r="M183" i="6" s="1"/>
  <c r="K183" i="6"/>
  <c r="J183" i="6"/>
  <c r="I183" i="6"/>
  <c r="O182" i="6"/>
  <c r="N182" i="6"/>
  <c r="L182" i="6"/>
  <c r="M182" i="6" s="1"/>
  <c r="K182" i="6"/>
  <c r="J182" i="6"/>
  <c r="I182" i="6"/>
  <c r="O181" i="6"/>
  <c r="N181" i="6"/>
  <c r="L181" i="6"/>
  <c r="M181" i="6" s="1"/>
  <c r="K181" i="6"/>
  <c r="J181" i="6"/>
  <c r="I181" i="6"/>
  <c r="O180" i="6"/>
  <c r="N180" i="6"/>
  <c r="L180" i="6"/>
  <c r="M180" i="6" s="1"/>
  <c r="K180" i="6"/>
  <c r="J180" i="6"/>
  <c r="I180" i="6"/>
  <c r="O179" i="6"/>
  <c r="N179" i="6"/>
  <c r="L179" i="6"/>
  <c r="M179" i="6" s="1"/>
  <c r="K179" i="6"/>
  <c r="J179" i="6"/>
  <c r="I179" i="6"/>
  <c r="O178" i="6"/>
  <c r="N178" i="6"/>
  <c r="L178" i="6"/>
  <c r="M178" i="6" s="1"/>
  <c r="K178" i="6"/>
  <c r="J178" i="6"/>
  <c r="I178" i="6"/>
  <c r="O177" i="6"/>
  <c r="N177" i="6"/>
  <c r="L177" i="6"/>
  <c r="M177" i="6" s="1"/>
  <c r="K177" i="6"/>
  <c r="J177" i="6"/>
  <c r="I177" i="6"/>
  <c r="O176" i="6"/>
  <c r="N176" i="6"/>
  <c r="L176" i="6"/>
  <c r="M176" i="6" s="1"/>
  <c r="K176" i="6"/>
  <c r="J176" i="6"/>
  <c r="I176" i="6"/>
  <c r="O175" i="6"/>
  <c r="N175" i="6"/>
  <c r="L175" i="6"/>
  <c r="M175" i="6" s="1"/>
  <c r="K175" i="6"/>
  <c r="J175" i="6"/>
  <c r="I175" i="6"/>
  <c r="O174" i="6"/>
  <c r="N174" i="6"/>
  <c r="L174" i="6"/>
  <c r="M174" i="6" s="1"/>
  <c r="K174" i="6"/>
  <c r="J174" i="6"/>
  <c r="I174" i="6"/>
  <c r="O173" i="6"/>
  <c r="N173" i="6"/>
  <c r="L173" i="6"/>
  <c r="M173" i="6" s="1"/>
  <c r="K173" i="6"/>
  <c r="J173" i="6"/>
  <c r="I173" i="6"/>
  <c r="O172" i="6"/>
  <c r="N172" i="6"/>
  <c r="L172" i="6"/>
  <c r="M172" i="6" s="1"/>
  <c r="K172" i="6"/>
  <c r="J172" i="6"/>
  <c r="I172" i="6"/>
  <c r="O171" i="6"/>
  <c r="N171" i="6"/>
  <c r="L171" i="6"/>
  <c r="M171" i="6" s="1"/>
  <c r="K171" i="6"/>
  <c r="J171" i="6"/>
  <c r="I171" i="6"/>
  <c r="O170" i="6"/>
  <c r="N170" i="6"/>
  <c r="L170" i="6"/>
  <c r="M170" i="6" s="1"/>
  <c r="K170" i="6"/>
  <c r="J170" i="6"/>
  <c r="I170" i="6"/>
  <c r="O169" i="6"/>
  <c r="N169" i="6"/>
  <c r="L169" i="6"/>
  <c r="M169" i="6" s="1"/>
  <c r="K169" i="6"/>
  <c r="J169" i="6"/>
  <c r="I169" i="6"/>
  <c r="O168" i="6"/>
  <c r="N168" i="6"/>
  <c r="L168" i="6"/>
  <c r="M168" i="6" s="1"/>
  <c r="K168" i="6"/>
  <c r="J168" i="6"/>
  <c r="I168" i="6"/>
  <c r="O167" i="6"/>
  <c r="N167" i="6"/>
  <c r="L167" i="6"/>
  <c r="M167" i="6" s="1"/>
  <c r="K167" i="6"/>
  <c r="J167" i="6"/>
  <c r="I167" i="6"/>
  <c r="O166" i="6"/>
  <c r="N166" i="6"/>
  <c r="L166" i="6"/>
  <c r="M166" i="6" s="1"/>
  <c r="K166" i="6"/>
  <c r="J166" i="6"/>
  <c r="I166" i="6"/>
  <c r="O165" i="6"/>
  <c r="N165" i="6"/>
  <c r="L165" i="6"/>
  <c r="M165" i="6" s="1"/>
  <c r="K165" i="6"/>
  <c r="J165" i="6"/>
  <c r="I165" i="6"/>
  <c r="O164" i="6"/>
  <c r="N164" i="6"/>
  <c r="L164" i="6"/>
  <c r="M164" i="6" s="1"/>
  <c r="K164" i="6"/>
  <c r="J164" i="6"/>
  <c r="I164" i="6"/>
  <c r="O163" i="6"/>
  <c r="N163" i="6"/>
  <c r="L163" i="6"/>
  <c r="M163" i="6" s="1"/>
  <c r="K163" i="6"/>
  <c r="J163" i="6"/>
  <c r="I163" i="6"/>
  <c r="O162" i="6"/>
  <c r="N162" i="6"/>
  <c r="L162" i="6"/>
  <c r="M162" i="6" s="1"/>
  <c r="K162" i="6"/>
  <c r="J162" i="6"/>
  <c r="I162" i="6"/>
  <c r="O161" i="6"/>
  <c r="N161" i="6"/>
  <c r="L161" i="6"/>
  <c r="M161" i="6" s="1"/>
  <c r="K161" i="6"/>
  <c r="J161" i="6"/>
  <c r="I161" i="6"/>
  <c r="O160" i="6"/>
  <c r="N160" i="6"/>
  <c r="L160" i="6"/>
  <c r="M160" i="6" s="1"/>
  <c r="K160" i="6"/>
  <c r="J160" i="6"/>
  <c r="I160" i="6"/>
  <c r="O159" i="6"/>
  <c r="N159" i="6"/>
  <c r="L159" i="6"/>
  <c r="M159" i="6" s="1"/>
  <c r="K159" i="6"/>
  <c r="J159" i="6"/>
  <c r="I159" i="6"/>
  <c r="O158" i="6"/>
  <c r="N158" i="6"/>
  <c r="L158" i="6"/>
  <c r="M158" i="6" s="1"/>
  <c r="K158" i="6"/>
  <c r="J158" i="6"/>
  <c r="I158" i="6"/>
  <c r="O157" i="6"/>
  <c r="N157" i="6"/>
  <c r="L157" i="6"/>
  <c r="M157" i="6" s="1"/>
  <c r="K157" i="6"/>
  <c r="J157" i="6"/>
  <c r="I157" i="6"/>
  <c r="O156" i="6"/>
  <c r="N156" i="6"/>
  <c r="L156" i="6"/>
  <c r="M156" i="6" s="1"/>
  <c r="K156" i="6"/>
  <c r="J156" i="6"/>
  <c r="I156" i="6"/>
  <c r="O155" i="6"/>
  <c r="N155" i="6"/>
  <c r="L155" i="6"/>
  <c r="M155" i="6" s="1"/>
  <c r="K155" i="6"/>
  <c r="J155" i="6"/>
  <c r="I155" i="6"/>
  <c r="O154" i="6"/>
  <c r="N154" i="6"/>
  <c r="L154" i="6"/>
  <c r="M154" i="6" s="1"/>
  <c r="K154" i="6"/>
  <c r="J154" i="6"/>
  <c r="I154" i="6"/>
  <c r="O153" i="6"/>
  <c r="N153" i="6"/>
  <c r="L153" i="6"/>
  <c r="M153" i="6" s="1"/>
  <c r="K153" i="6"/>
  <c r="J153" i="6"/>
  <c r="I153" i="6"/>
  <c r="O152" i="6"/>
  <c r="N152" i="6"/>
  <c r="L152" i="6"/>
  <c r="M152" i="6" s="1"/>
  <c r="K152" i="6"/>
  <c r="J152" i="6"/>
  <c r="I152" i="6"/>
  <c r="O151" i="6"/>
  <c r="N151" i="6"/>
  <c r="L151" i="6"/>
  <c r="M151" i="6" s="1"/>
  <c r="K151" i="6"/>
  <c r="J151" i="6"/>
  <c r="I151" i="6"/>
  <c r="O150" i="6"/>
  <c r="N150" i="6"/>
  <c r="L150" i="6"/>
  <c r="M150" i="6" s="1"/>
  <c r="K150" i="6"/>
  <c r="J150" i="6"/>
  <c r="I150" i="6"/>
  <c r="O149" i="6"/>
  <c r="N149" i="6"/>
  <c r="L149" i="6"/>
  <c r="M149" i="6" s="1"/>
  <c r="K149" i="6"/>
  <c r="J149" i="6"/>
  <c r="I149" i="6"/>
  <c r="O148" i="6"/>
  <c r="N148" i="6"/>
  <c r="L148" i="6"/>
  <c r="M148" i="6" s="1"/>
  <c r="K148" i="6"/>
  <c r="J148" i="6"/>
  <c r="I148" i="6"/>
  <c r="O147" i="6"/>
  <c r="N147" i="6"/>
  <c r="L147" i="6"/>
  <c r="M147" i="6" s="1"/>
  <c r="K147" i="6"/>
  <c r="J147" i="6"/>
  <c r="I147" i="6"/>
  <c r="O146" i="6"/>
  <c r="N146" i="6"/>
  <c r="L146" i="6"/>
  <c r="M146" i="6" s="1"/>
  <c r="K146" i="6"/>
  <c r="J146" i="6"/>
  <c r="I146" i="6"/>
  <c r="O145" i="6"/>
  <c r="N145" i="6"/>
  <c r="L145" i="6"/>
  <c r="M145" i="6" s="1"/>
  <c r="K145" i="6"/>
  <c r="J145" i="6"/>
  <c r="I145" i="6"/>
  <c r="O144" i="6"/>
  <c r="N144" i="6"/>
  <c r="L144" i="6"/>
  <c r="M144" i="6" s="1"/>
  <c r="K144" i="6"/>
  <c r="J144" i="6"/>
  <c r="I144" i="6"/>
  <c r="O143" i="6"/>
  <c r="N143" i="6"/>
  <c r="L143" i="6"/>
  <c r="M143" i="6" s="1"/>
  <c r="K143" i="6"/>
  <c r="J143" i="6"/>
  <c r="I143" i="6"/>
  <c r="O142" i="6"/>
  <c r="N142" i="6"/>
  <c r="L142" i="6"/>
  <c r="M142" i="6" s="1"/>
  <c r="K142" i="6"/>
  <c r="J142" i="6"/>
  <c r="I142" i="6"/>
  <c r="O141" i="6"/>
  <c r="N141" i="6"/>
  <c r="L141" i="6"/>
  <c r="M141" i="6" s="1"/>
  <c r="K141" i="6"/>
  <c r="J141" i="6"/>
  <c r="I141" i="6"/>
  <c r="O140" i="6"/>
  <c r="N140" i="6"/>
  <c r="L140" i="6"/>
  <c r="M140" i="6" s="1"/>
  <c r="K140" i="6"/>
  <c r="J140" i="6"/>
  <c r="I140" i="6"/>
  <c r="O139" i="6"/>
  <c r="N139" i="6"/>
  <c r="L139" i="6"/>
  <c r="M139" i="6" s="1"/>
  <c r="K139" i="6"/>
  <c r="J139" i="6"/>
  <c r="I139" i="6"/>
  <c r="O138" i="6"/>
  <c r="N138" i="6"/>
  <c r="L138" i="6"/>
  <c r="M138" i="6" s="1"/>
  <c r="K138" i="6"/>
  <c r="J138" i="6"/>
  <c r="I138" i="6"/>
  <c r="O137" i="6"/>
  <c r="N137" i="6"/>
  <c r="L137" i="6"/>
  <c r="M137" i="6" s="1"/>
  <c r="K137" i="6"/>
  <c r="J137" i="6"/>
  <c r="I137" i="6"/>
  <c r="O136" i="6"/>
  <c r="N136" i="6"/>
  <c r="L136" i="6"/>
  <c r="M136" i="6" s="1"/>
  <c r="K136" i="6"/>
  <c r="J136" i="6"/>
  <c r="I136" i="6"/>
  <c r="O135" i="6"/>
  <c r="N135" i="6"/>
  <c r="L135" i="6"/>
  <c r="M135" i="6" s="1"/>
  <c r="K135" i="6"/>
  <c r="J135" i="6"/>
  <c r="I135" i="6"/>
  <c r="O134" i="6"/>
  <c r="N134" i="6"/>
  <c r="L134" i="6"/>
  <c r="M134" i="6" s="1"/>
  <c r="K134" i="6"/>
  <c r="J134" i="6"/>
  <c r="I134" i="6"/>
  <c r="O133" i="6"/>
  <c r="N133" i="6"/>
  <c r="L133" i="6"/>
  <c r="M133" i="6" s="1"/>
  <c r="K133" i="6"/>
  <c r="J133" i="6"/>
  <c r="I133" i="6"/>
  <c r="O132" i="6"/>
  <c r="N132" i="6"/>
  <c r="L132" i="6"/>
  <c r="M132" i="6" s="1"/>
  <c r="K132" i="6"/>
  <c r="J132" i="6"/>
  <c r="I132" i="6"/>
  <c r="O131" i="6"/>
  <c r="N131" i="6"/>
  <c r="L131" i="6"/>
  <c r="M131" i="6" s="1"/>
  <c r="K131" i="6"/>
  <c r="J131" i="6"/>
  <c r="I131" i="6"/>
  <c r="O130" i="6"/>
  <c r="N130" i="6"/>
  <c r="L130" i="6"/>
  <c r="M130" i="6" s="1"/>
  <c r="K130" i="6"/>
  <c r="J130" i="6"/>
  <c r="I130" i="6"/>
  <c r="O129" i="6"/>
  <c r="N129" i="6"/>
  <c r="L129" i="6"/>
  <c r="M129" i="6" s="1"/>
  <c r="K129" i="6"/>
  <c r="J129" i="6"/>
  <c r="I129" i="6"/>
  <c r="O128" i="6"/>
  <c r="N128" i="6"/>
  <c r="L128" i="6"/>
  <c r="M128" i="6" s="1"/>
  <c r="K128" i="6"/>
  <c r="J128" i="6"/>
  <c r="I128" i="6"/>
  <c r="O127" i="6"/>
  <c r="N127" i="6"/>
  <c r="L127" i="6"/>
  <c r="M127" i="6" s="1"/>
  <c r="K127" i="6"/>
  <c r="J127" i="6"/>
  <c r="I127" i="6"/>
  <c r="O126" i="6"/>
  <c r="N126" i="6"/>
  <c r="L126" i="6"/>
  <c r="M126" i="6" s="1"/>
  <c r="K126" i="6"/>
  <c r="J126" i="6"/>
  <c r="I126" i="6"/>
  <c r="O125" i="6"/>
  <c r="N125" i="6"/>
  <c r="L125" i="6"/>
  <c r="M125" i="6" s="1"/>
  <c r="K125" i="6"/>
  <c r="J125" i="6"/>
  <c r="I125" i="6"/>
  <c r="O124" i="6"/>
  <c r="N124" i="6"/>
  <c r="L124" i="6"/>
  <c r="M124" i="6" s="1"/>
  <c r="K124" i="6"/>
  <c r="J124" i="6"/>
  <c r="I124" i="6"/>
  <c r="O123" i="6"/>
  <c r="N123" i="6"/>
  <c r="L123" i="6"/>
  <c r="M123" i="6" s="1"/>
  <c r="K123" i="6"/>
  <c r="J123" i="6"/>
  <c r="I123" i="6"/>
  <c r="O122" i="6"/>
  <c r="N122" i="6"/>
  <c r="L122" i="6"/>
  <c r="M122" i="6" s="1"/>
  <c r="K122" i="6"/>
  <c r="J122" i="6"/>
  <c r="I122" i="6"/>
  <c r="O121" i="6"/>
  <c r="N121" i="6"/>
  <c r="L121" i="6"/>
  <c r="M121" i="6" s="1"/>
  <c r="K121" i="6"/>
  <c r="J121" i="6"/>
  <c r="I121" i="6"/>
  <c r="O120" i="6"/>
  <c r="N120" i="6"/>
  <c r="L120" i="6"/>
  <c r="M120" i="6" s="1"/>
  <c r="K120" i="6"/>
  <c r="J120" i="6"/>
  <c r="I120" i="6"/>
  <c r="O119" i="6"/>
  <c r="N119" i="6"/>
  <c r="L119" i="6"/>
  <c r="M119" i="6" s="1"/>
  <c r="K119" i="6"/>
  <c r="J119" i="6"/>
  <c r="I119" i="6"/>
  <c r="O118" i="6"/>
  <c r="N118" i="6"/>
  <c r="L118" i="6"/>
  <c r="M118" i="6" s="1"/>
  <c r="K118" i="6"/>
  <c r="J118" i="6"/>
  <c r="I118" i="6"/>
  <c r="O117" i="6"/>
  <c r="N117" i="6"/>
  <c r="L117" i="6"/>
  <c r="M117" i="6" s="1"/>
  <c r="K117" i="6"/>
  <c r="J117" i="6"/>
  <c r="I117" i="6"/>
  <c r="O116" i="6"/>
  <c r="N116" i="6"/>
  <c r="L116" i="6"/>
  <c r="M116" i="6" s="1"/>
  <c r="K116" i="6"/>
  <c r="J116" i="6"/>
  <c r="I116" i="6"/>
  <c r="O115" i="6"/>
  <c r="N115" i="6"/>
  <c r="L115" i="6"/>
  <c r="M115" i="6" s="1"/>
  <c r="K115" i="6"/>
  <c r="J115" i="6"/>
  <c r="I115" i="6"/>
  <c r="O114" i="6"/>
  <c r="N114" i="6"/>
  <c r="L114" i="6"/>
  <c r="M114" i="6" s="1"/>
  <c r="K114" i="6"/>
  <c r="J114" i="6"/>
  <c r="I114" i="6"/>
  <c r="O113" i="6"/>
  <c r="N113" i="6"/>
  <c r="L113" i="6"/>
  <c r="M113" i="6" s="1"/>
  <c r="K113" i="6"/>
  <c r="J113" i="6"/>
  <c r="I113" i="6"/>
  <c r="O112" i="6"/>
  <c r="N112" i="6"/>
  <c r="L112" i="6"/>
  <c r="M112" i="6" s="1"/>
  <c r="K112" i="6"/>
  <c r="J112" i="6"/>
  <c r="I112" i="6"/>
  <c r="O111" i="6"/>
  <c r="N111" i="6"/>
  <c r="L111" i="6"/>
  <c r="M111" i="6" s="1"/>
  <c r="K111" i="6"/>
  <c r="J111" i="6"/>
  <c r="I111" i="6"/>
  <c r="O110" i="6"/>
  <c r="N110" i="6"/>
  <c r="L110" i="6"/>
  <c r="M110" i="6" s="1"/>
  <c r="K110" i="6"/>
  <c r="J110" i="6"/>
  <c r="I110" i="6"/>
  <c r="O109" i="6"/>
  <c r="N109" i="6"/>
  <c r="L109" i="6"/>
  <c r="M109" i="6" s="1"/>
  <c r="K109" i="6"/>
  <c r="J109" i="6"/>
  <c r="I109" i="6"/>
  <c r="O108" i="6"/>
  <c r="N108" i="6"/>
  <c r="L108" i="6"/>
  <c r="M108" i="6" s="1"/>
  <c r="K108" i="6"/>
  <c r="J108" i="6"/>
  <c r="I108" i="6"/>
  <c r="O107" i="6"/>
  <c r="N107" i="6"/>
  <c r="L107" i="6"/>
  <c r="M107" i="6" s="1"/>
  <c r="K107" i="6"/>
  <c r="J107" i="6"/>
  <c r="I107" i="6"/>
  <c r="O106" i="6"/>
  <c r="N106" i="6"/>
  <c r="L106" i="6"/>
  <c r="M106" i="6" s="1"/>
  <c r="K106" i="6"/>
  <c r="J106" i="6"/>
  <c r="I106" i="6"/>
  <c r="O105" i="6"/>
  <c r="N105" i="6"/>
  <c r="L105" i="6"/>
  <c r="M105" i="6" s="1"/>
  <c r="K105" i="6"/>
  <c r="J105" i="6"/>
  <c r="I105" i="6"/>
  <c r="O104" i="6"/>
  <c r="N104" i="6"/>
  <c r="L104" i="6"/>
  <c r="M104" i="6" s="1"/>
  <c r="K104" i="6"/>
  <c r="J104" i="6"/>
  <c r="I104" i="6"/>
  <c r="O103" i="6"/>
  <c r="N103" i="6"/>
  <c r="L103" i="6"/>
  <c r="M103" i="6" s="1"/>
  <c r="K103" i="6"/>
  <c r="J103" i="6"/>
  <c r="I103" i="6"/>
  <c r="O102" i="6"/>
  <c r="N102" i="6"/>
  <c r="L102" i="6"/>
  <c r="M102" i="6" s="1"/>
  <c r="K102" i="6"/>
  <c r="J102" i="6"/>
  <c r="I102" i="6"/>
  <c r="O101" i="6"/>
  <c r="N101" i="6"/>
  <c r="L101" i="6"/>
  <c r="M101" i="6" s="1"/>
  <c r="K101" i="6"/>
  <c r="J101" i="6"/>
  <c r="I101" i="6"/>
  <c r="O100" i="6"/>
  <c r="N100" i="6"/>
  <c r="L100" i="6"/>
  <c r="M100" i="6" s="1"/>
  <c r="K100" i="6"/>
  <c r="J100" i="6"/>
  <c r="I100" i="6"/>
  <c r="O99" i="6"/>
  <c r="N99" i="6"/>
  <c r="L99" i="6"/>
  <c r="M99" i="6" s="1"/>
  <c r="K99" i="6"/>
  <c r="J99" i="6"/>
  <c r="I99" i="6"/>
  <c r="O98" i="6"/>
  <c r="N98" i="6"/>
  <c r="L98" i="6"/>
  <c r="M98" i="6" s="1"/>
  <c r="K98" i="6"/>
  <c r="J98" i="6"/>
  <c r="I98" i="6"/>
  <c r="O97" i="6"/>
  <c r="N97" i="6"/>
  <c r="L97" i="6"/>
  <c r="M97" i="6" s="1"/>
  <c r="K97" i="6"/>
  <c r="J97" i="6"/>
  <c r="I97" i="6"/>
  <c r="O96" i="6"/>
  <c r="N96" i="6"/>
  <c r="L96" i="6"/>
  <c r="M96" i="6" s="1"/>
  <c r="K96" i="6"/>
  <c r="J96" i="6"/>
  <c r="I96" i="6"/>
  <c r="O95" i="6"/>
  <c r="N95" i="6"/>
  <c r="L95" i="6"/>
  <c r="M95" i="6" s="1"/>
  <c r="K95" i="6"/>
  <c r="J95" i="6"/>
  <c r="I95" i="6"/>
  <c r="O94" i="6"/>
  <c r="N94" i="6"/>
  <c r="L94" i="6"/>
  <c r="M94" i="6" s="1"/>
  <c r="K94" i="6"/>
  <c r="J94" i="6"/>
  <c r="I94" i="6"/>
  <c r="O93" i="6"/>
  <c r="N93" i="6"/>
  <c r="L93" i="6"/>
  <c r="M93" i="6" s="1"/>
  <c r="K93" i="6"/>
  <c r="J93" i="6"/>
  <c r="I93" i="6"/>
  <c r="O92" i="6"/>
  <c r="N92" i="6"/>
  <c r="L92" i="6"/>
  <c r="M92" i="6" s="1"/>
  <c r="K92" i="6"/>
  <c r="J92" i="6"/>
  <c r="I92" i="6"/>
  <c r="O91" i="6"/>
  <c r="N91" i="6"/>
  <c r="L91" i="6"/>
  <c r="M91" i="6" s="1"/>
  <c r="K91" i="6"/>
  <c r="J91" i="6"/>
  <c r="I91" i="6"/>
  <c r="O90" i="6"/>
  <c r="N90" i="6"/>
  <c r="L90" i="6"/>
  <c r="M90" i="6" s="1"/>
  <c r="K90" i="6"/>
  <c r="J90" i="6"/>
  <c r="I90" i="6"/>
  <c r="O89" i="6"/>
  <c r="N89" i="6"/>
  <c r="L89" i="6"/>
  <c r="M89" i="6" s="1"/>
  <c r="K89" i="6"/>
  <c r="J89" i="6"/>
  <c r="I89" i="6"/>
  <c r="O88" i="6"/>
  <c r="N88" i="6"/>
  <c r="L88" i="6"/>
  <c r="M88" i="6" s="1"/>
  <c r="K88" i="6"/>
  <c r="J88" i="6"/>
  <c r="I88" i="6"/>
  <c r="O87" i="6"/>
  <c r="N87" i="6"/>
  <c r="L87" i="6"/>
  <c r="M87" i="6" s="1"/>
  <c r="K87" i="6"/>
  <c r="J87" i="6"/>
  <c r="I87" i="6"/>
  <c r="O86" i="6"/>
  <c r="N86" i="6"/>
  <c r="L86" i="6"/>
  <c r="M86" i="6" s="1"/>
  <c r="K86" i="6"/>
  <c r="J86" i="6"/>
  <c r="I86" i="6"/>
  <c r="O85" i="6"/>
  <c r="N85" i="6"/>
  <c r="L85" i="6"/>
  <c r="M85" i="6" s="1"/>
  <c r="K85" i="6"/>
  <c r="J85" i="6"/>
  <c r="I85" i="6"/>
  <c r="O84" i="6"/>
  <c r="N84" i="6"/>
  <c r="L84" i="6"/>
  <c r="M84" i="6" s="1"/>
  <c r="K84" i="6"/>
  <c r="J84" i="6"/>
  <c r="I84" i="6"/>
  <c r="O83" i="6"/>
  <c r="N83" i="6"/>
  <c r="L83" i="6"/>
  <c r="M83" i="6" s="1"/>
  <c r="K83" i="6"/>
  <c r="J83" i="6"/>
  <c r="I83" i="6"/>
  <c r="O82" i="6"/>
  <c r="N82" i="6"/>
  <c r="L82" i="6"/>
  <c r="M82" i="6" s="1"/>
  <c r="K82" i="6"/>
  <c r="J82" i="6"/>
  <c r="I82" i="6"/>
  <c r="O81" i="6"/>
  <c r="N81" i="6"/>
  <c r="L81" i="6"/>
  <c r="M81" i="6" s="1"/>
  <c r="K81" i="6"/>
  <c r="J81" i="6"/>
  <c r="I81" i="6"/>
  <c r="O80" i="6"/>
  <c r="N80" i="6"/>
  <c r="L80" i="6"/>
  <c r="M80" i="6" s="1"/>
  <c r="K80" i="6"/>
  <c r="J80" i="6"/>
  <c r="I80" i="6"/>
  <c r="O79" i="6"/>
  <c r="N79" i="6"/>
  <c r="L79" i="6"/>
  <c r="M79" i="6" s="1"/>
  <c r="K79" i="6"/>
  <c r="J79" i="6"/>
  <c r="I79" i="6"/>
  <c r="O78" i="6"/>
  <c r="N78" i="6"/>
  <c r="L78" i="6"/>
  <c r="M78" i="6" s="1"/>
  <c r="K78" i="6"/>
  <c r="J78" i="6"/>
  <c r="I78" i="6"/>
  <c r="O77" i="6"/>
  <c r="N77" i="6"/>
  <c r="L77" i="6"/>
  <c r="M77" i="6" s="1"/>
  <c r="K77" i="6"/>
  <c r="J77" i="6"/>
  <c r="I77" i="6"/>
  <c r="O76" i="6"/>
  <c r="N76" i="6"/>
  <c r="L76" i="6"/>
  <c r="M76" i="6" s="1"/>
  <c r="K76" i="6"/>
  <c r="J76" i="6"/>
  <c r="I76" i="6"/>
  <c r="O75" i="6"/>
  <c r="N75" i="6"/>
  <c r="L75" i="6"/>
  <c r="M75" i="6" s="1"/>
  <c r="K75" i="6"/>
  <c r="J75" i="6"/>
  <c r="I75" i="6"/>
  <c r="O74" i="6"/>
  <c r="N74" i="6"/>
  <c r="L74" i="6"/>
  <c r="M74" i="6" s="1"/>
  <c r="K74" i="6"/>
  <c r="J74" i="6"/>
  <c r="I74" i="6"/>
  <c r="O73" i="6"/>
  <c r="N73" i="6"/>
  <c r="L73" i="6"/>
  <c r="M73" i="6" s="1"/>
  <c r="K73" i="6"/>
  <c r="J73" i="6"/>
  <c r="I73" i="6"/>
  <c r="O72" i="6"/>
  <c r="N72" i="6"/>
  <c r="L72" i="6"/>
  <c r="M72" i="6" s="1"/>
  <c r="K72" i="6"/>
  <c r="J72" i="6"/>
  <c r="I72" i="6"/>
  <c r="O71" i="6"/>
  <c r="N71" i="6"/>
  <c r="L71" i="6"/>
  <c r="M71" i="6" s="1"/>
  <c r="K71" i="6"/>
  <c r="J71" i="6"/>
  <c r="I71" i="6"/>
  <c r="O70" i="6"/>
  <c r="N70" i="6"/>
  <c r="L70" i="6"/>
  <c r="M70" i="6" s="1"/>
  <c r="K70" i="6"/>
  <c r="J70" i="6"/>
  <c r="I70" i="6"/>
  <c r="O69" i="6"/>
  <c r="N69" i="6"/>
  <c r="L69" i="6"/>
  <c r="M69" i="6" s="1"/>
  <c r="K69" i="6"/>
  <c r="J69" i="6"/>
  <c r="I69" i="6"/>
  <c r="O68" i="6"/>
  <c r="N68" i="6"/>
  <c r="L68" i="6"/>
  <c r="M68" i="6" s="1"/>
  <c r="K68" i="6"/>
  <c r="J68" i="6"/>
  <c r="I68" i="6"/>
  <c r="O67" i="6"/>
  <c r="N67" i="6"/>
  <c r="L67" i="6"/>
  <c r="M67" i="6" s="1"/>
  <c r="K67" i="6"/>
  <c r="J67" i="6"/>
  <c r="I67" i="6"/>
  <c r="O66" i="6"/>
  <c r="N66" i="6"/>
  <c r="L66" i="6"/>
  <c r="M66" i="6" s="1"/>
  <c r="K66" i="6"/>
  <c r="J66" i="6"/>
  <c r="I66" i="6"/>
  <c r="O65" i="6"/>
  <c r="N65" i="6"/>
  <c r="L65" i="6"/>
  <c r="M65" i="6" s="1"/>
  <c r="K65" i="6"/>
  <c r="J65" i="6"/>
  <c r="I65" i="6"/>
  <c r="O64" i="6"/>
  <c r="N64" i="6"/>
  <c r="L64" i="6"/>
  <c r="M64" i="6" s="1"/>
  <c r="K64" i="6"/>
  <c r="J64" i="6"/>
  <c r="I64" i="6"/>
  <c r="O63" i="6"/>
  <c r="N63" i="6"/>
  <c r="L63" i="6"/>
  <c r="M63" i="6" s="1"/>
  <c r="K63" i="6"/>
  <c r="J63" i="6"/>
  <c r="I63" i="6"/>
  <c r="O62" i="6"/>
  <c r="N62" i="6"/>
  <c r="L62" i="6"/>
  <c r="M62" i="6" s="1"/>
  <c r="K62" i="6"/>
  <c r="J62" i="6"/>
  <c r="I62" i="6"/>
  <c r="O61" i="6"/>
  <c r="N61" i="6"/>
  <c r="L61" i="6"/>
  <c r="M61" i="6" s="1"/>
  <c r="K61" i="6"/>
  <c r="J61" i="6"/>
  <c r="I61" i="6"/>
  <c r="O60" i="6"/>
  <c r="N60" i="6"/>
  <c r="L60" i="6"/>
  <c r="M60" i="6" s="1"/>
  <c r="K60" i="6"/>
  <c r="J60" i="6"/>
  <c r="I60" i="6"/>
  <c r="O59" i="6"/>
  <c r="N59" i="6"/>
  <c r="L59" i="6"/>
  <c r="M59" i="6" s="1"/>
  <c r="K59" i="6"/>
  <c r="J59" i="6"/>
  <c r="I59" i="6"/>
  <c r="O58" i="6"/>
  <c r="N58" i="6"/>
  <c r="L58" i="6"/>
  <c r="M58" i="6" s="1"/>
  <c r="K58" i="6"/>
  <c r="J58" i="6"/>
  <c r="I58" i="6"/>
  <c r="O57" i="6"/>
  <c r="N57" i="6"/>
  <c r="L57" i="6"/>
  <c r="M57" i="6" s="1"/>
  <c r="K57" i="6"/>
  <c r="J57" i="6"/>
  <c r="I57" i="6"/>
  <c r="O56" i="6"/>
  <c r="N56" i="6"/>
  <c r="L56" i="6"/>
  <c r="M56" i="6" s="1"/>
  <c r="K56" i="6"/>
  <c r="J56" i="6"/>
  <c r="I56" i="6"/>
  <c r="O55" i="6"/>
  <c r="N55" i="6"/>
  <c r="L55" i="6"/>
  <c r="M55" i="6" s="1"/>
  <c r="K55" i="6"/>
  <c r="J55" i="6"/>
  <c r="I55" i="6"/>
  <c r="O54" i="6"/>
  <c r="N54" i="6"/>
  <c r="L54" i="6"/>
  <c r="M54" i="6" s="1"/>
  <c r="K54" i="6"/>
  <c r="J54" i="6"/>
  <c r="I54" i="6"/>
  <c r="O53" i="6"/>
  <c r="N53" i="6"/>
  <c r="L53" i="6"/>
  <c r="M53" i="6" s="1"/>
  <c r="K53" i="6"/>
  <c r="J53" i="6"/>
  <c r="I53" i="6"/>
  <c r="O52" i="6"/>
  <c r="N52" i="6"/>
  <c r="L52" i="6"/>
  <c r="M52" i="6" s="1"/>
  <c r="K52" i="6"/>
  <c r="J52" i="6"/>
  <c r="I52" i="6"/>
  <c r="O51" i="6"/>
  <c r="N51" i="6"/>
  <c r="L51" i="6"/>
  <c r="M51" i="6" s="1"/>
  <c r="K51" i="6"/>
  <c r="J51" i="6"/>
  <c r="I51" i="6"/>
  <c r="O50" i="6"/>
  <c r="N50" i="6"/>
  <c r="L50" i="6"/>
  <c r="M50" i="6" s="1"/>
  <c r="K50" i="6"/>
  <c r="J50" i="6"/>
  <c r="I50" i="6"/>
  <c r="O49" i="6"/>
  <c r="N49" i="6"/>
  <c r="L49" i="6"/>
  <c r="M49" i="6" s="1"/>
  <c r="K49" i="6"/>
  <c r="J49" i="6"/>
  <c r="I49" i="6"/>
  <c r="O48" i="6"/>
  <c r="N48" i="6"/>
  <c r="L48" i="6"/>
  <c r="M48" i="6" s="1"/>
  <c r="K48" i="6"/>
  <c r="J48" i="6"/>
  <c r="I48" i="6"/>
  <c r="O47" i="6"/>
  <c r="N47" i="6"/>
  <c r="L47" i="6"/>
  <c r="M47" i="6" s="1"/>
  <c r="K47" i="6"/>
  <c r="J47" i="6"/>
  <c r="I47" i="6"/>
  <c r="O46" i="6"/>
  <c r="N46" i="6"/>
  <c r="L46" i="6"/>
  <c r="M46" i="6" s="1"/>
  <c r="K46" i="6"/>
  <c r="J46" i="6"/>
  <c r="I46" i="6"/>
  <c r="O45" i="6"/>
  <c r="N45" i="6"/>
  <c r="L45" i="6"/>
  <c r="M45" i="6" s="1"/>
  <c r="K45" i="6"/>
  <c r="J45" i="6"/>
  <c r="I45" i="6"/>
  <c r="O44" i="6"/>
  <c r="N44" i="6"/>
  <c r="L44" i="6"/>
  <c r="M44" i="6" s="1"/>
  <c r="K44" i="6"/>
  <c r="J44" i="6"/>
  <c r="I44" i="6"/>
  <c r="O43" i="6"/>
  <c r="N43" i="6"/>
  <c r="L43" i="6"/>
  <c r="M43" i="6" s="1"/>
  <c r="K43" i="6"/>
  <c r="J43" i="6"/>
  <c r="I43" i="6"/>
  <c r="O42" i="6"/>
  <c r="N42" i="6"/>
  <c r="L42" i="6"/>
  <c r="M42" i="6" s="1"/>
  <c r="K42" i="6"/>
  <c r="J42" i="6"/>
  <c r="I42" i="6"/>
  <c r="O41" i="6"/>
  <c r="N41" i="6"/>
  <c r="L41" i="6"/>
  <c r="M41" i="6" s="1"/>
  <c r="K41" i="6"/>
  <c r="J41" i="6"/>
  <c r="I41" i="6"/>
  <c r="O40" i="6"/>
  <c r="N40" i="6"/>
  <c r="L40" i="6"/>
  <c r="M40" i="6" s="1"/>
  <c r="K40" i="6"/>
  <c r="J40" i="6"/>
  <c r="I40" i="6"/>
  <c r="O39" i="6"/>
  <c r="N39" i="6"/>
  <c r="L39" i="6"/>
  <c r="M39" i="6" s="1"/>
  <c r="K39" i="6"/>
  <c r="J39" i="6"/>
  <c r="I39" i="6"/>
  <c r="O38" i="6"/>
  <c r="N38" i="6"/>
  <c r="L38" i="6"/>
  <c r="M38" i="6" s="1"/>
  <c r="K38" i="6"/>
  <c r="J38" i="6"/>
  <c r="I38" i="6"/>
  <c r="O37" i="6"/>
  <c r="N37" i="6"/>
  <c r="L37" i="6"/>
  <c r="M37" i="6" s="1"/>
  <c r="K37" i="6"/>
  <c r="J37" i="6"/>
  <c r="I37" i="6"/>
  <c r="O36" i="6"/>
  <c r="N36" i="6"/>
  <c r="L36" i="6"/>
  <c r="M36" i="6" s="1"/>
  <c r="K36" i="6"/>
  <c r="J36" i="6"/>
  <c r="I36" i="6"/>
  <c r="O35" i="6"/>
  <c r="N35" i="6"/>
  <c r="L35" i="6"/>
  <c r="M35" i="6" s="1"/>
  <c r="K35" i="6"/>
  <c r="J35" i="6"/>
  <c r="I35" i="6"/>
  <c r="O34" i="6"/>
  <c r="N34" i="6"/>
  <c r="L34" i="6"/>
  <c r="M34" i="6" s="1"/>
  <c r="K34" i="6"/>
  <c r="J34" i="6"/>
  <c r="I34" i="6"/>
  <c r="O33" i="6"/>
  <c r="N33" i="6"/>
  <c r="L33" i="6"/>
  <c r="M33" i="6" s="1"/>
  <c r="K33" i="6"/>
  <c r="J33" i="6"/>
  <c r="I33" i="6"/>
  <c r="O32" i="6"/>
  <c r="N32" i="6"/>
  <c r="L32" i="6"/>
  <c r="M32" i="6" s="1"/>
  <c r="K32" i="6"/>
  <c r="J32" i="6"/>
  <c r="I32" i="6"/>
  <c r="O31" i="6"/>
  <c r="N31" i="6"/>
  <c r="L31" i="6"/>
  <c r="M31" i="6" s="1"/>
  <c r="K31" i="6"/>
  <c r="J31" i="6"/>
  <c r="I31" i="6"/>
  <c r="O30" i="6"/>
  <c r="N30" i="6"/>
  <c r="L30" i="6"/>
  <c r="M30" i="6" s="1"/>
  <c r="K30" i="6"/>
  <c r="J30" i="6"/>
  <c r="I30" i="6"/>
  <c r="O29" i="6"/>
  <c r="N29" i="6"/>
  <c r="L29" i="6"/>
  <c r="M29" i="6" s="1"/>
  <c r="K29" i="6"/>
  <c r="J29" i="6"/>
  <c r="I29" i="6"/>
  <c r="O28" i="6"/>
  <c r="N28" i="6"/>
  <c r="L28" i="6"/>
  <c r="M28" i="6" s="1"/>
  <c r="K28" i="6"/>
  <c r="J28" i="6"/>
  <c r="I28" i="6"/>
  <c r="O27" i="6"/>
  <c r="N27" i="6"/>
  <c r="L27" i="6"/>
  <c r="M27" i="6" s="1"/>
  <c r="K27" i="6"/>
  <c r="J27" i="6"/>
  <c r="I27" i="6"/>
  <c r="O26" i="6"/>
  <c r="N26" i="6"/>
  <c r="L26" i="6"/>
  <c r="M26" i="6" s="1"/>
  <c r="K26" i="6"/>
  <c r="J26" i="6"/>
  <c r="I26" i="6"/>
  <c r="O25" i="6"/>
  <c r="N25" i="6"/>
  <c r="L25" i="6"/>
  <c r="M25" i="6" s="1"/>
  <c r="K25" i="6"/>
  <c r="J25" i="6"/>
  <c r="I25" i="6"/>
  <c r="O24" i="6"/>
  <c r="N24" i="6"/>
  <c r="L24" i="6"/>
  <c r="M24" i="6" s="1"/>
  <c r="K24" i="6"/>
  <c r="J24" i="6"/>
  <c r="I24" i="6"/>
  <c r="O23" i="6"/>
  <c r="N23" i="6"/>
  <c r="L23" i="6"/>
  <c r="M23" i="6" s="1"/>
  <c r="K23" i="6"/>
  <c r="J23" i="6"/>
  <c r="I23" i="6"/>
  <c r="O22" i="6"/>
  <c r="N22" i="6"/>
  <c r="L22" i="6"/>
  <c r="M22" i="6" s="1"/>
  <c r="K22" i="6"/>
  <c r="J22" i="6"/>
  <c r="I22" i="6"/>
  <c r="O21" i="6"/>
  <c r="N21" i="6"/>
  <c r="L21" i="6"/>
  <c r="M21" i="6" s="1"/>
  <c r="K21" i="6"/>
  <c r="J21" i="6"/>
  <c r="I21" i="6"/>
  <c r="O20" i="6"/>
  <c r="N20" i="6"/>
  <c r="L20" i="6"/>
  <c r="M20" i="6" s="1"/>
  <c r="K20" i="6"/>
  <c r="J20" i="6"/>
  <c r="I20" i="6"/>
  <c r="O19" i="6"/>
  <c r="N19" i="6"/>
  <c r="L19" i="6"/>
  <c r="M19" i="6" s="1"/>
  <c r="K19" i="6"/>
  <c r="J19" i="6"/>
  <c r="I19" i="6"/>
  <c r="O18" i="6"/>
  <c r="N18" i="6"/>
  <c r="L18" i="6"/>
  <c r="M18" i="6" s="1"/>
  <c r="K18" i="6"/>
  <c r="J18" i="6"/>
  <c r="I18" i="6"/>
  <c r="O17" i="6"/>
  <c r="N17" i="6"/>
  <c r="L17" i="6"/>
  <c r="M17" i="6" s="1"/>
  <c r="K17" i="6"/>
  <c r="J17" i="6"/>
  <c r="I17" i="6"/>
  <c r="O16" i="6"/>
  <c r="N16" i="6"/>
  <c r="L16" i="6"/>
  <c r="M16" i="6" s="1"/>
  <c r="K16" i="6"/>
  <c r="J16" i="6"/>
  <c r="I16" i="6"/>
  <c r="O15" i="6"/>
  <c r="N15" i="6"/>
  <c r="L15" i="6"/>
  <c r="M15" i="6" s="1"/>
  <c r="K15" i="6"/>
  <c r="J15" i="6"/>
  <c r="I15" i="6"/>
  <c r="O14" i="6"/>
  <c r="N14" i="6"/>
  <c r="L14" i="6"/>
  <c r="M14" i="6" s="1"/>
  <c r="K14" i="6"/>
  <c r="J14" i="6"/>
  <c r="I14" i="6"/>
  <c r="O13" i="6"/>
  <c r="N13" i="6"/>
  <c r="L13" i="6"/>
  <c r="M13" i="6" s="1"/>
  <c r="K13" i="6"/>
  <c r="J13" i="6"/>
  <c r="I13" i="6"/>
  <c r="O12" i="6"/>
  <c r="N12" i="6"/>
  <c r="L12" i="6"/>
  <c r="M12" i="6" s="1"/>
  <c r="K12" i="6"/>
  <c r="J12" i="6"/>
  <c r="I12" i="6"/>
  <c r="O11" i="6"/>
  <c r="N11" i="6"/>
  <c r="L11" i="6"/>
  <c r="M11" i="6" s="1"/>
  <c r="K11" i="6"/>
  <c r="J11" i="6"/>
  <c r="I11" i="6"/>
  <c r="O10" i="6"/>
  <c r="N10" i="6"/>
  <c r="L10" i="6"/>
  <c r="M10" i="6" s="1"/>
  <c r="K10" i="6"/>
  <c r="J10" i="6"/>
  <c r="I10" i="6"/>
  <c r="O9" i="6"/>
  <c r="N9" i="6"/>
  <c r="L9" i="6"/>
  <c r="M9" i="6" s="1"/>
  <c r="K9" i="6"/>
  <c r="J9" i="6"/>
  <c r="I9" i="6"/>
  <c r="O8" i="6"/>
  <c r="N8" i="6"/>
  <c r="L8" i="6"/>
  <c r="M8" i="6" s="1"/>
  <c r="K8" i="6"/>
  <c r="J8" i="6"/>
  <c r="I8" i="6"/>
  <c r="O7" i="6"/>
  <c r="N7" i="6"/>
  <c r="L7" i="6"/>
  <c r="M7" i="6" s="1"/>
  <c r="K7" i="6"/>
  <c r="J7" i="6"/>
  <c r="I7" i="6"/>
  <c r="O6" i="6"/>
  <c r="N6" i="6"/>
  <c r="L6" i="6"/>
  <c r="K6" i="6"/>
  <c r="J6" i="6"/>
  <c r="I6" i="6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C67" i="4"/>
  <c r="C54" i="4"/>
  <c r="A50" i="4"/>
  <c r="C40" i="4"/>
  <c r="A36" i="4"/>
  <c r="C26" i="4"/>
  <c r="A22" i="4"/>
  <c r="C12" i="4"/>
  <c r="A8" i="4"/>
  <c r="N4" i="4"/>
  <c r="M4" i="4"/>
  <c r="L4" i="4"/>
  <c r="K4" i="4"/>
  <c r="J4" i="4"/>
  <c r="I4" i="4"/>
  <c r="H4" i="4"/>
  <c r="G4" i="4"/>
  <c r="F4" i="4"/>
  <c r="E4" i="4"/>
  <c r="D4" i="4"/>
  <c r="C4" i="4"/>
  <c r="B35" i="3"/>
  <c r="C35" i="3" s="1"/>
  <c r="I34" i="3"/>
  <c r="I33" i="3"/>
  <c r="I32" i="3"/>
  <c r="I31" i="3"/>
  <c r="B27" i="3"/>
  <c r="B11" i="3"/>
  <c r="B26" i="2"/>
  <c r="B25" i="2"/>
  <c r="B24" i="2"/>
  <c r="B23" i="2"/>
  <c r="B12" i="2"/>
  <c r="A12" i="2"/>
  <c r="B11" i="2"/>
  <c r="A11" i="2"/>
  <c r="B10" i="2"/>
  <c r="A10" i="2"/>
  <c r="B9" i="2"/>
  <c r="B13" i="2" s="1"/>
  <c r="A9" i="2"/>
  <c r="B4" i="2" l="1"/>
  <c r="A2" i="2"/>
  <c r="M61" i="4"/>
  <c r="J61" i="4"/>
  <c r="E61" i="4"/>
  <c r="L61" i="4"/>
  <c r="I61" i="4"/>
  <c r="F61" i="4"/>
  <c r="K61" i="4"/>
  <c r="N61" i="4"/>
  <c r="H61" i="4"/>
  <c r="D61" i="4"/>
  <c r="G61" i="4"/>
  <c r="C61" i="4"/>
  <c r="N70" i="4"/>
  <c r="J70" i="4"/>
  <c r="H70" i="4"/>
  <c r="D70" i="4"/>
  <c r="L69" i="4"/>
  <c r="H69" i="4"/>
  <c r="D69" i="4"/>
  <c r="L70" i="4"/>
  <c r="F70" i="4"/>
  <c r="M69" i="4"/>
  <c r="I69" i="4"/>
  <c r="E69" i="4"/>
  <c r="K70" i="4"/>
  <c r="I70" i="4"/>
  <c r="E70" i="4"/>
  <c r="M70" i="4"/>
  <c r="G70" i="4"/>
  <c r="C70" i="4"/>
  <c r="K69" i="4"/>
  <c r="G69" i="4"/>
  <c r="C69" i="4"/>
  <c r="N69" i="4"/>
  <c r="J69" i="4"/>
  <c r="F69" i="4"/>
  <c r="M6" i="6"/>
  <c r="B36" i="2"/>
  <c r="B39" i="2"/>
  <c r="B38" i="2"/>
  <c r="B37" i="2"/>
  <c r="N47" i="4"/>
  <c r="M47" i="4"/>
  <c r="L47" i="4"/>
  <c r="K47" i="4"/>
  <c r="J47" i="4"/>
  <c r="I47" i="4"/>
  <c r="H47" i="4"/>
  <c r="F47" i="4"/>
  <c r="E47" i="4"/>
  <c r="D47" i="4"/>
  <c r="C47" i="4"/>
  <c r="G47" i="4"/>
  <c r="J33" i="4"/>
  <c r="I33" i="4"/>
  <c r="H33" i="4"/>
  <c r="G33" i="4"/>
  <c r="F33" i="4"/>
  <c r="E33" i="4"/>
  <c r="D33" i="4"/>
  <c r="C33" i="4"/>
  <c r="N33" i="4"/>
  <c r="M33" i="4"/>
  <c r="L33" i="4"/>
  <c r="K33" i="4"/>
  <c r="J19" i="4"/>
  <c r="I19" i="4"/>
  <c r="H19" i="4"/>
  <c r="G19" i="4"/>
  <c r="F19" i="4"/>
  <c r="E19" i="4"/>
  <c r="D19" i="4"/>
  <c r="C19" i="4"/>
  <c r="N19" i="4"/>
  <c r="K19" i="4"/>
  <c r="L19" i="4"/>
  <c r="M19" i="4"/>
  <c r="N6" i="4"/>
  <c r="N5" i="4"/>
  <c r="M6" i="4"/>
  <c r="M5" i="4"/>
  <c r="L6" i="4"/>
  <c r="L5" i="4"/>
  <c r="K6" i="4"/>
  <c r="K5" i="4"/>
  <c r="J6" i="4"/>
  <c r="J5" i="4"/>
  <c r="I6" i="4"/>
  <c r="I5" i="4"/>
  <c r="H6" i="4"/>
  <c r="H5" i="4"/>
  <c r="G6" i="4"/>
  <c r="G5" i="4"/>
  <c r="F6" i="4"/>
  <c r="F5" i="4"/>
  <c r="E6" i="4"/>
  <c r="E5" i="4"/>
  <c r="D6" i="4"/>
  <c r="D5" i="4"/>
  <c r="C6" i="4"/>
  <c r="C5" i="4"/>
  <c r="H12" i="2"/>
  <c r="G12" i="2"/>
  <c r="F12" i="2"/>
  <c r="H11" i="2"/>
  <c r="G11" i="2"/>
  <c r="F11" i="2"/>
  <c r="H10" i="2"/>
  <c r="G10" i="2"/>
  <c r="F10" i="2"/>
  <c r="H9" i="2"/>
  <c r="G9" i="2"/>
  <c r="F9" i="2"/>
  <c r="F13" i="2" s="1"/>
  <c r="C18" i="2" l="1"/>
  <c r="B28" i="2"/>
  <c r="J10" i="2"/>
  <c r="J9" i="2"/>
  <c r="J13" i="2" s="1"/>
  <c r="J12" i="2"/>
  <c r="C17" i="2"/>
  <c r="C20" i="2" s="1"/>
  <c r="J11" i="2"/>
  <c r="B5" i="2"/>
  <c r="C19" i="2"/>
  <c r="C36" i="2"/>
  <c r="C37" i="2"/>
  <c r="C38" i="2"/>
  <c r="C39" i="2"/>
  <c r="N11" i="4"/>
  <c r="N25" i="4"/>
  <c r="N39" i="4"/>
  <c r="N53" i="4"/>
  <c r="N9" i="4"/>
  <c r="N23" i="4"/>
  <c r="N24" i="4" s="1"/>
  <c r="N37" i="4"/>
  <c r="N38" i="4" s="1"/>
  <c r="N51" i="4"/>
  <c r="N52" i="4" s="1"/>
  <c r="M11" i="4"/>
  <c r="N12" i="4" s="1"/>
  <c r="M25" i="4"/>
  <c r="N26" i="4" s="1"/>
  <c r="M39" i="4"/>
  <c r="N40" i="4" s="1"/>
  <c r="M53" i="4"/>
  <c r="N54" i="4" s="1"/>
  <c r="M9" i="4"/>
  <c r="M23" i="4"/>
  <c r="M24" i="4" s="1"/>
  <c r="M37" i="4"/>
  <c r="M38" i="4" s="1"/>
  <c r="M51" i="4"/>
  <c r="M52" i="4" s="1"/>
  <c r="L11" i="4"/>
  <c r="M12" i="4" s="1"/>
  <c r="L25" i="4"/>
  <c r="M26" i="4" s="1"/>
  <c r="L39" i="4"/>
  <c r="M40" i="4" s="1"/>
  <c r="L53" i="4"/>
  <c r="M54" i="4" s="1"/>
  <c r="L9" i="4"/>
  <c r="L23" i="4"/>
  <c r="L24" i="4" s="1"/>
  <c r="L37" i="4"/>
  <c r="L38" i="4" s="1"/>
  <c r="L51" i="4"/>
  <c r="L52" i="4" s="1"/>
  <c r="K11" i="4"/>
  <c r="L12" i="4" s="1"/>
  <c r="K25" i="4"/>
  <c r="L26" i="4" s="1"/>
  <c r="K39" i="4"/>
  <c r="L40" i="4" s="1"/>
  <c r="K53" i="4"/>
  <c r="L54" i="4" s="1"/>
  <c r="K9" i="4"/>
  <c r="K23" i="4"/>
  <c r="K24" i="4" s="1"/>
  <c r="K37" i="4"/>
  <c r="K38" i="4" s="1"/>
  <c r="K51" i="4"/>
  <c r="K52" i="4" s="1"/>
  <c r="J11" i="4"/>
  <c r="K12" i="4" s="1"/>
  <c r="J25" i="4"/>
  <c r="K26" i="4" s="1"/>
  <c r="J39" i="4"/>
  <c r="K40" i="4" s="1"/>
  <c r="J53" i="4"/>
  <c r="K54" i="4" s="1"/>
  <c r="J9" i="4"/>
  <c r="J23" i="4"/>
  <c r="J24" i="4" s="1"/>
  <c r="J37" i="4"/>
  <c r="J38" i="4" s="1"/>
  <c r="J51" i="4"/>
  <c r="J52" i="4" s="1"/>
  <c r="I11" i="4"/>
  <c r="J12" i="4" s="1"/>
  <c r="I25" i="4"/>
  <c r="J26" i="4" s="1"/>
  <c r="I39" i="4"/>
  <c r="J40" i="4" s="1"/>
  <c r="I53" i="4"/>
  <c r="J54" i="4" s="1"/>
  <c r="I9" i="4"/>
  <c r="I23" i="4"/>
  <c r="I24" i="4" s="1"/>
  <c r="I37" i="4"/>
  <c r="I38" i="4" s="1"/>
  <c r="I51" i="4"/>
  <c r="I52" i="4" s="1"/>
  <c r="H11" i="4"/>
  <c r="I12" i="4" s="1"/>
  <c r="H25" i="4"/>
  <c r="I26" i="4" s="1"/>
  <c r="H39" i="4"/>
  <c r="I40" i="4" s="1"/>
  <c r="H53" i="4"/>
  <c r="I54" i="4" s="1"/>
  <c r="H9" i="4"/>
  <c r="H23" i="4"/>
  <c r="H24" i="4" s="1"/>
  <c r="H37" i="4"/>
  <c r="H38" i="4" s="1"/>
  <c r="H51" i="4"/>
  <c r="H52" i="4" s="1"/>
  <c r="G11" i="4"/>
  <c r="H12" i="4" s="1"/>
  <c r="G25" i="4"/>
  <c r="H26" i="4" s="1"/>
  <c r="G39" i="4"/>
  <c r="H40" i="4" s="1"/>
  <c r="G53" i="4"/>
  <c r="H54" i="4" s="1"/>
  <c r="G9" i="4"/>
  <c r="G23" i="4"/>
  <c r="G24" i="4" s="1"/>
  <c r="G37" i="4"/>
  <c r="G38" i="4" s="1"/>
  <c r="G51" i="4"/>
  <c r="G52" i="4" s="1"/>
  <c r="F11" i="4"/>
  <c r="G12" i="4" s="1"/>
  <c r="F25" i="4"/>
  <c r="G26" i="4" s="1"/>
  <c r="F39" i="4"/>
  <c r="G40" i="4" s="1"/>
  <c r="F53" i="4"/>
  <c r="G54" i="4" s="1"/>
  <c r="F9" i="4"/>
  <c r="F23" i="4"/>
  <c r="F24" i="4" s="1"/>
  <c r="F37" i="4"/>
  <c r="F38" i="4" s="1"/>
  <c r="F51" i="4"/>
  <c r="F52" i="4" s="1"/>
  <c r="E11" i="4"/>
  <c r="F12" i="4" s="1"/>
  <c r="E25" i="4"/>
  <c r="F26" i="4" s="1"/>
  <c r="E39" i="4"/>
  <c r="F40" i="4" s="1"/>
  <c r="E53" i="4"/>
  <c r="F54" i="4" s="1"/>
  <c r="E9" i="4"/>
  <c r="E23" i="4"/>
  <c r="E24" i="4" s="1"/>
  <c r="E37" i="4"/>
  <c r="E38" i="4" s="1"/>
  <c r="E51" i="4"/>
  <c r="E52" i="4" s="1"/>
  <c r="D11" i="4"/>
  <c r="E12" i="4" s="1"/>
  <c r="D25" i="4"/>
  <c r="E26" i="4" s="1"/>
  <c r="D39" i="4"/>
  <c r="E40" i="4" s="1"/>
  <c r="D53" i="4"/>
  <c r="E54" i="4" s="1"/>
  <c r="D9" i="4"/>
  <c r="D23" i="4"/>
  <c r="D24" i="4" s="1"/>
  <c r="D37" i="4"/>
  <c r="D38" i="4" s="1"/>
  <c r="D51" i="4"/>
  <c r="D52" i="4" s="1"/>
  <c r="C11" i="4"/>
  <c r="D12" i="4" s="1"/>
  <c r="C25" i="4"/>
  <c r="D26" i="4" s="1"/>
  <c r="C39" i="4"/>
  <c r="D40" i="4" s="1"/>
  <c r="C53" i="4"/>
  <c r="D54" i="4" s="1"/>
  <c r="C23" i="4"/>
  <c r="C24" i="4" s="1"/>
  <c r="C28" i="4" s="1"/>
  <c r="C37" i="4"/>
  <c r="C38" i="4" s="1"/>
  <c r="C42" i="4" s="1"/>
  <c r="C51" i="4"/>
  <c r="C52" i="4" s="1"/>
  <c r="C56" i="4" s="1"/>
  <c r="C9" i="2"/>
  <c r="E9" i="2"/>
  <c r="C10" i="2"/>
  <c r="D10" i="2" s="1"/>
  <c r="E10" i="2"/>
  <c r="C11" i="2"/>
  <c r="D11" i="2" s="1"/>
  <c r="E11" i="2"/>
  <c r="C12" i="2"/>
  <c r="D12" i="2" s="1"/>
  <c r="E12" i="2"/>
  <c r="C5" i="2" l="1"/>
  <c r="B17" i="2"/>
  <c r="B32" i="2"/>
  <c r="I9" i="2"/>
  <c r="I10" i="2"/>
  <c r="K10" i="2" s="1"/>
  <c r="L10" i="2" s="1"/>
  <c r="I11" i="2"/>
  <c r="K11" i="2" s="1"/>
  <c r="L11" i="2" s="1"/>
  <c r="I12" i="2"/>
  <c r="K12" i="2" s="1"/>
  <c r="L12" i="2" s="1"/>
  <c r="B18" i="2"/>
  <c r="D18" i="2" s="1"/>
  <c r="B27" i="2"/>
  <c r="B29" i="2" s="1"/>
  <c r="B30" i="2"/>
  <c r="B31" i="2"/>
  <c r="B19" i="2"/>
  <c r="D19" i="2" s="1"/>
  <c r="E42" i="4"/>
  <c r="E56" i="4"/>
  <c r="D42" i="4"/>
  <c r="D56" i="4"/>
  <c r="M28" i="4"/>
  <c r="M42" i="4"/>
  <c r="N10" i="4"/>
  <c r="N14" i="4" s="1"/>
  <c r="N68" i="4"/>
  <c r="M10" i="4"/>
  <c r="M14" i="4" s="1"/>
  <c r="M68" i="4"/>
  <c r="L10" i="4"/>
  <c r="L14" i="4" s="1"/>
  <c r="L68" i="4"/>
  <c r="K10" i="4"/>
  <c r="K14" i="4" s="1"/>
  <c r="K68" i="4"/>
  <c r="J10" i="4"/>
  <c r="J14" i="4" s="1"/>
  <c r="J68" i="4"/>
  <c r="I10" i="4"/>
  <c r="I14" i="4" s="1"/>
  <c r="I68" i="4"/>
  <c r="H10" i="4"/>
  <c r="H14" i="4" s="1"/>
  <c r="H68" i="4"/>
  <c r="G10" i="4"/>
  <c r="G14" i="4" s="1"/>
  <c r="G68" i="4"/>
  <c r="F10" i="4"/>
  <c r="F14" i="4" s="1"/>
  <c r="F68" i="4"/>
  <c r="E10" i="4"/>
  <c r="E14" i="4" s="1"/>
  <c r="E68" i="4"/>
  <c r="D10" i="4"/>
  <c r="D14" i="4" s="1"/>
  <c r="D68" i="4"/>
  <c r="C10" i="4"/>
  <c r="C14" i="4" s="1"/>
  <c r="C68" i="4"/>
  <c r="D9" i="2"/>
  <c r="C13" i="2"/>
  <c r="M56" i="4"/>
  <c r="L28" i="4"/>
  <c r="L42" i="4"/>
  <c r="L56" i="4"/>
  <c r="H28" i="4"/>
  <c r="G42" i="4"/>
  <c r="N28" i="4"/>
  <c r="N56" i="4"/>
  <c r="K28" i="4"/>
  <c r="K42" i="4"/>
  <c r="K56" i="4"/>
  <c r="J28" i="4"/>
  <c r="J42" i="4"/>
  <c r="J56" i="4"/>
  <c r="I28" i="4"/>
  <c r="I42" i="4"/>
  <c r="I56" i="4"/>
  <c r="H42" i="4"/>
  <c r="H56" i="4"/>
  <c r="G28" i="4"/>
  <c r="G56" i="4"/>
  <c r="N42" i="4"/>
  <c r="F28" i="4"/>
  <c r="F42" i="4"/>
  <c r="F56" i="4"/>
  <c r="E28" i="4"/>
  <c r="D28" i="4"/>
  <c r="D17" i="2" l="1"/>
  <c r="D20" i="2" s="1"/>
  <c r="B20" i="2"/>
  <c r="I13" i="2"/>
  <c r="K9" i="2"/>
  <c r="L9" i="2" s="1"/>
  <c r="N66" i="4"/>
  <c r="M66" i="4"/>
  <c r="L66" i="4"/>
  <c r="K66" i="4"/>
  <c r="J66" i="4"/>
  <c r="I66" i="4"/>
  <c r="H66" i="4"/>
  <c r="G66" i="4"/>
  <c r="F66" i="4"/>
  <c r="E66" i="4"/>
  <c r="D66" i="4"/>
  <c r="C66" i="4"/>
  <c r="K13" i="2"/>
  <c r="C71" i="4" l="1"/>
  <c r="C72" i="4" s="1"/>
  <c r="C73" i="4" s="1"/>
  <c r="C15" i="4" l="1"/>
  <c r="C57" i="4"/>
  <c r="C43" i="4"/>
  <c r="C29" i="4"/>
  <c r="C75" i="4"/>
  <c r="D67" i="4"/>
  <c r="C74" i="4"/>
  <c r="C20" i="4" l="1"/>
  <c r="C18" i="4"/>
  <c r="C17" i="4"/>
  <c r="C16" i="4"/>
  <c r="C62" i="4"/>
  <c r="C60" i="4"/>
  <c r="C59" i="4"/>
  <c r="C58" i="4"/>
  <c r="C48" i="4"/>
  <c r="C46" i="4"/>
  <c r="C45" i="4"/>
  <c r="C44" i="4"/>
  <c r="C34" i="4"/>
  <c r="C32" i="4"/>
  <c r="C31" i="4"/>
  <c r="C30" i="4"/>
  <c r="D71" i="4"/>
  <c r="D75" i="4" l="1"/>
  <c r="D57" i="4"/>
  <c r="D43" i="4"/>
  <c r="D29" i="4"/>
  <c r="D15" i="4"/>
  <c r="D72" i="4"/>
  <c r="D73" i="4" s="1"/>
  <c r="E67" i="4" l="1"/>
  <c r="D74" i="4"/>
  <c r="D62" i="4"/>
  <c r="D60" i="4"/>
  <c r="D58" i="4"/>
  <c r="D59" i="4"/>
  <c r="D48" i="4"/>
  <c r="D46" i="4"/>
  <c r="D45" i="4"/>
  <c r="D44" i="4"/>
  <c r="D30" i="4"/>
  <c r="D31" i="4"/>
  <c r="D32" i="4"/>
  <c r="D34" i="4"/>
  <c r="D20" i="4"/>
  <c r="D18" i="4"/>
  <c r="D17" i="4"/>
  <c r="D16" i="4"/>
  <c r="E71" i="4"/>
  <c r="E75" i="4" l="1"/>
  <c r="E57" i="4"/>
  <c r="E43" i="4"/>
  <c r="E29" i="4"/>
  <c r="E15" i="4"/>
  <c r="E72" i="4"/>
  <c r="E73" i="4" s="1"/>
  <c r="F67" i="4" s="1"/>
  <c r="E74" i="4"/>
  <c r="E62" i="4" l="1"/>
  <c r="E60" i="4"/>
  <c r="E59" i="4"/>
  <c r="E58" i="4"/>
  <c r="E48" i="4"/>
  <c r="E46" i="4"/>
  <c r="E45" i="4"/>
  <c r="E44" i="4"/>
  <c r="E30" i="4"/>
  <c r="E31" i="4"/>
  <c r="E32" i="4"/>
  <c r="E34" i="4"/>
  <c r="E20" i="4"/>
  <c r="E18" i="4"/>
  <c r="E17" i="4"/>
  <c r="E16" i="4"/>
  <c r="F71" i="4"/>
  <c r="F75" i="4" l="1"/>
  <c r="F29" i="4"/>
  <c r="F43" i="4"/>
  <c r="F57" i="4"/>
  <c r="F15" i="4"/>
  <c r="F72" i="4"/>
  <c r="F73" i="4" s="1"/>
  <c r="G67" i="4" l="1"/>
  <c r="G71" i="4" s="1"/>
  <c r="F74" i="4"/>
  <c r="F30" i="4"/>
  <c r="F31" i="4"/>
  <c r="F32" i="4"/>
  <c r="F34" i="4"/>
  <c r="F44" i="4"/>
  <c r="F45" i="4"/>
  <c r="F46" i="4"/>
  <c r="F48" i="4"/>
  <c r="F58" i="4"/>
  <c r="F59" i="4"/>
  <c r="F60" i="4"/>
  <c r="F62" i="4"/>
  <c r="F20" i="4"/>
  <c r="F18" i="4"/>
  <c r="F17" i="4"/>
  <c r="F16" i="4"/>
  <c r="G75" i="4" l="1"/>
  <c r="G43" i="4"/>
  <c r="G29" i="4"/>
  <c r="G57" i="4"/>
  <c r="G15" i="4"/>
  <c r="G72" i="4"/>
  <c r="G73" i="4" s="1"/>
  <c r="G44" i="4" l="1"/>
  <c r="G45" i="4"/>
  <c r="G46" i="4"/>
  <c r="G48" i="4"/>
  <c r="G30" i="4"/>
  <c r="G31" i="4"/>
  <c r="G32" i="4"/>
  <c r="G34" i="4"/>
  <c r="G59" i="4"/>
  <c r="G62" i="4"/>
  <c r="G60" i="4"/>
  <c r="G58" i="4"/>
  <c r="G20" i="4"/>
  <c r="G18" i="4"/>
  <c r="G17" i="4"/>
  <c r="G16" i="4"/>
  <c r="G74" i="4"/>
  <c r="H67" i="4"/>
  <c r="H71" i="4" l="1"/>
  <c r="H75" i="4" l="1"/>
  <c r="H29" i="4"/>
  <c r="H43" i="4"/>
  <c r="H57" i="4"/>
  <c r="H15" i="4"/>
  <c r="H72" i="4"/>
  <c r="H73" i="4" s="1"/>
  <c r="H30" i="4" l="1"/>
  <c r="H31" i="4"/>
  <c r="H32" i="4"/>
  <c r="H34" i="4"/>
  <c r="H44" i="4"/>
  <c r="H45" i="4"/>
  <c r="H46" i="4"/>
  <c r="H48" i="4"/>
  <c r="H62" i="4"/>
  <c r="H58" i="4"/>
  <c r="H59" i="4"/>
  <c r="H60" i="4"/>
  <c r="H20" i="4"/>
  <c r="H18" i="4"/>
  <c r="H17" i="4"/>
  <c r="H16" i="4"/>
  <c r="I67" i="4"/>
  <c r="H74" i="4"/>
  <c r="I71" i="4" l="1"/>
  <c r="I75" i="4" l="1"/>
  <c r="I29" i="4"/>
  <c r="I43" i="4"/>
  <c r="I57" i="4"/>
  <c r="I15" i="4"/>
  <c r="I72" i="4"/>
  <c r="I73" i="4" s="1"/>
  <c r="J67" i="4" l="1"/>
  <c r="I74" i="4"/>
  <c r="I30" i="4"/>
  <c r="I31" i="4"/>
  <c r="I32" i="4"/>
  <c r="I34" i="4"/>
  <c r="I44" i="4"/>
  <c r="I45" i="4"/>
  <c r="I46" i="4"/>
  <c r="I48" i="4"/>
  <c r="I58" i="4"/>
  <c r="I59" i="4"/>
  <c r="I60" i="4"/>
  <c r="I62" i="4"/>
  <c r="I20" i="4"/>
  <c r="I18" i="4"/>
  <c r="I17" i="4"/>
  <c r="I16" i="4"/>
  <c r="J71" i="4"/>
  <c r="J75" i="4" l="1"/>
  <c r="J29" i="4"/>
  <c r="J43" i="4"/>
  <c r="J57" i="4"/>
  <c r="J15" i="4"/>
  <c r="J72" i="4"/>
  <c r="J73" i="4" s="1"/>
  <c r="K67" i="4" l="1"/>
  <c r="K71" i="4" s="1"/>
  <c r="J74" i="4"/>
  <c r="J30" i="4"/>
  <c r="J31" i="4"/>
  <c r="J32" i="4"/>
  <c r="J34" i="4"/>
  <c r="J44" i="4"/>
  <c r="J45" i="4"/>
  <c r="J46" i="4"/>
  <c r="J48" i="4"/>
  <c r="J62" i="4"/>
  <c r="J58" i="4"/>
  <c r="J59" i="4"/>
  <c r="J60" i="4"/>
  <c r="J20" i="4"/>
  <c r="J18" i="4"/>
  <c r="J17" i="4"/>
  <c r="J16" i="4"/>
  <c r="K75" i="4" l="1"/>
  <c r="K29" i="4"/>
  <c r="K43" i="4"/>
  <c r="K57" i="4"/>
  <c r="K15" i="4"/>
  <c r="K72" i="4"/>
  <c r="K73" i="4" s="1"/>
  <c r="L67" i="4" s="1"/>
  <c r="K74" i="4"/>
  <c r="K30" i="4" l="1"/>
  <c r="K31" i="4"/>
  <c r="K32" i="4"/>
  <c r="K34" i="4"/>
  <c r="K44" i="4"/>
  <c r="K45" i="4"/>
  <c r="K46" i="4"/>
  <c r="K48" i="4"/>
  <c r="K60" i="4"/>
  <c r="K58" i="4"/>
  <c r="K59" i="4"/>
  <c r="K62" i="4"/>
  <c r="K20" i="4"/>
  <c r="K18" i="4"/>
  <c r="K17" i="4"/>
  <c r="K16" i="4"/>
  <c r="L71" i="4"/>
  <c r="L75" i="4" l="1"/>
  <c r="L29" i="4"/>
  <c r="L43" i="4"/>
  <c r="L57" i="4"/>
  <c r="L15" i="4"/>
  <c r="L72" i="4"/>
  <c r="L73" i="4" s="1"/>
  <c r="L74" i="4" s="1"/>
  <c r="M67" i="4"/>
  <c r="L30" i="4" l="1"/>
  <c r="L31" i="4"/>
  <c r="L32" i="4"/>
  <c r="L34" i="4"/>
  <c r="L44" i="4"/>
  <c r="L45" i="4"/>
  <c r="L46" i="4"/>
  <c r="L48" i="4"/>
  <c r="L58" i="4"/>
  <c r="L59" i="4"/>
  <c r="L60" i="4"/>
  <c r="L62" i="4"/>
  <c r="L20" i="4"/>
  <c r="L18" i="4"/>
  <c r="L17" i="4"/>
  <c r="L16" i="4"/>
  <c r="M71" i="4"/>
  <c r="M75" i="4" l="1"/>
  <c r="M43" i="4"/>
  <c r="M29" i="4"/>
  <c r="M57" i="4"/>
  <c r="M15" i="4"/>
  <c r="M72" i="4"/>
  <c r="M73" i="4" s="1"/>
  <c r="M74" i="4" l="1"/>
  <c r="N67" i="4"/>
  <c r="N71" i="4" s="1"/>
  <c r="M48" i="4"/>
  <c r="M46" i="4"/>
  <c r="M45" i="4"/>
  <c r="M44" i="4"/>
  <c r="M34" i="4"/>
  <c r="M32" i="4"/>
  <c r="M31" i="4"/>
  <c r="M30" i="4"/>
  <c r="M59" i="4"/>
  <c r="M60" i="4"/>
  <c r="M58" i="4"/>
  <c r="M62" i="4"/>
  <c r="M20" i="4"/>
  <c r="M18" i="4"/>
  <c r="M17" i="4"/>
  <c r="M16" i="4"/>
  <c r="N75" i="4" l="1"/>
  <c r="N29" i="4"/>
  <c r="N57" i="4"/>
  <c r="N43" i="4"/>
  <c r="N15" i="4"/>
  <c r="N72" i="4"/>
  <c r="N73" i="4" s="1"/>
  <c r="N74" i="4" s="1"/>
  <c r="N30" i="4" l="1"/>
  <c r="N31" i="4"/>
  <c r="N32" i="4"/>
  <c r="N34" i="4"/>
  <c r="N58" i="4"/>
  <c r="N62" i="4"/>
  <c r="N59" i="4"/>
  <c r="N60" i="4"/>
  <c r="N44" i="4"/>
  <c r="N45" i="4"/>
  <c r="N46" i="4"/>
  <c r="N48" i="4"/>
  <c r="N20" i="4"/>
  <c r="N18" i="4"/>
  <c r="N17" i="4"/>
  <c r="N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OTB skill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Placeholder — total cash you're putting in.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Fit-out, POS, try-on tablets, deposits. Deducted before any stock is bought.</t>
        </r>
      </text>
    </comment>
    <comment ref="B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Placeholder — midpoint of the ₹1.2–1.5L/month revenue target. Multiplied by the seasonality index.</t>
        </r>
      </text>
    </comment>
    <comment ref="B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Reference only — the model is ex-GST. Confirm HSN rate with your CA.</t>
        </r>
      </text>
    </comment>
    <comment ref="B1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Cash that procurement is never allowed to touch.</t>
        </r>
      </text>
    </comment>
    <comment ref="B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Defaults to today. Overwrite with a date to review a past week.</t>
        </r>
      </text>
    </comment>
  </commentList>
</comments>
</file>

<file path=xl/sharedStrings.xml><?xml version="1.0" encoding="utf-8"?>
<sst xmlns="http://schemas.openxmlformats.org/spreadsheetml/2006/main" count="243" uniqueCount="190">
  <si>
    <t>Ma Lakhsmi Stores — Open-to-Buy (OTB) Calculator</t>
  </si>
  <si>
    <t>Generated 24-Oct-2026 by the otb-calculator skill</t>
  </si>
  <si>
    <t>What this does</t>
  </si>
  <si>
    <t>Tells you how much cash you're allowed to spend on stock each month, per category and per sourcing hub (Surat / Burrabazar / Other), without starving rent, salaries or your cash buffer.</t>
  </si>
  <si>
    <t>Colour legend</t>
  </si>
  <si>
    <t>Yellow fill + blue text = input you edit. Black = formula (don't touch). Green = pulled from another sheet. Grey italic row above a table = example only, it is NOT counted.</t>
  </si>
  <si>
    <t>How to use</t>
  </si>
  <si>
    <t>1. Inputs — overwrite every yellow cell with your real numbers (all placeholders right now). Category mix and each source split must total 100% (check cells turn red if not).</t>
  </si>
  <si>
    <t>2. Monthly OTB — 12-month plan. 'Approved OTB' is your spend limit per category; the source rows tell you how much to carry to Surat vs Burrabazar. Enter confirmed-but-undelivered orders in the yellow 'On order' rows.</t>
  </si>
  <si>
    <t>3. Stock Aging — log every purchase lot (date, category, source, qty, cost). Update 'Qty sold' weekly.</t>
  </si>
  <si>
    <t>4. Sales Log — once a week, one row per category × source: units sold and sales ₹ (ex-GST, at selling price).</t>
  </si>
  <si>
    <t>5. Dashboard — check the ACTION column before every sourcing run. PAUSE = don't buy that category.</t>
  </si>
  <si>
    <t>The OTB formula</t>
  </si>
  <si>
    <t>OTB (at cost) = Planned sales at cost + Planned closing stock − Opening stock − Already on order. Closing stock target = next month's planned sales at cost × 'months of cover' for that category.</t>
  </si>
  <si>
    <t>Cash guardrail: OTB is scaled down if opening cash + planned sales − fixed costs − buffer can't fund it.</t>
  </si>
  <si>
    <t>Margin: a 60% gross margin means cost = 40% of selling price (2.5× markup).</t>
  </si>
  <si>
    <t>Flags on the Dashboard</t>
  </si>
  <si>
    <t>OVER-INDEXED / PAUSE PROCUREMENT: a category's share of stock is above target + tolerance.</t>
  </si>
  <si>
    <t>PAUSE – over OTB budget: you've already bought more than this month's approved OTB.</t>
  </si>
  <si>
    <t>PAUSE – too much cover: stock on hand would take longer than the max weeks of cover to sell.</t>
  </si>
  <si>
    <t>SLOW – sell-through low: less than the minimum share of purchased units has sold.</t>
  </si>
  <si>
    <t>Stock Aging buckets: Fresh → Watch (push in reels/WhatsApp) → Ageing (markdown) → Dead (clearance / vendor exchange).</t>
  </si>
  <si>
    <t>Assumptions</t>
  </si>
  <si>
    <t>Sales cash is assumed received in the same month (retail, mostly cash/UPI). All money ex-GST. Saree GST rate depends on HSN/price — confirm with your CA.</t>
  </si>
  <si>
    <t>Ma Lakhsmi Stores — OTB Dashboard</t>
  </si>
  <si>
    <t>Current month</t>
  </si>
  <si>
    <t>Plan month # (0 = outside plan)</t>
  </si>
  <si>
    <t>Category health &amp; procurement signal</t>
  </si>
  <si>
    <t>Category</t>
  </si>
  <si>
    <t>Target mix</t>
  </si>
  <si>
    <t>Actual stock mix</t>
  </si>
  <si>
    <t>Variance</t>
  </si>
  <si>
    <t>Mix signal</t>
  </si>
  <si>
    <t>Stock on hand (₹ cost)</t>
  </si>
  <si>
    <t>Sell-through</t>
  </si>
  <si>
    <t>Weeks of cover</t>
  </si>
  <si>
    <t>Approved OTB this month</t>
  </si>
  <si>
    <t>Bought this month</t>
  </si>
  <si>
    <t>OTB left</t>
  </si>
  <si>
    <t>ACTION</t>
  </si>
  <si>
    <t>Total</t>
  </si>
  <si>
    <t>Sourcing run — cash to carry this month (₹ at cost)</t>
  </si>
  <si>
    <t>Source</t>
  </si>
  <si>
    <t>Approved this month</t>
  </si>
  <si>
    <t>Already spent</t>
  </si>
  <si>
    <t>Still to spend</t>
  </si>
  <si>
    <t>Surat</t>
  </si>
  <si>
    <t>Burrabazar</t>
  </si>
  <si>
    <t>Other</t>
  </si>
  <si>
    <t>Cash position</t>
  </si>
  <si>
    <t>Working capital</t>
  </si>
  <si>
    <t>Setup costs</t>
  </si>
  <si>
    <t>Monthly fixed costs</t>
  </si>
  <si>
    <t>Cash buffer protected</t>
  </si>
  <si>
    <t>Planned sales this month</t>
  </si>
  <si>
    <t>Actual sales this month (Sales Log)</t>
  </si>
  <si>
    <t>Sales vs plan</t>
  </si>
  <si>
    <t>Planned closing cash this month</t>
  </si>
  <si>
    <t>Runway (months of fixed costs)</t>
  </si>
  <si>
    <t>Cash status</t>
  </si>
  <si>
    <t>Stock aging (₹ at cost)</t>
  </si>
  <si>
    <t>Bucket</t>
  </si>
  <si>
    <t>Stock value</t>
  </si>
  <si>
    <t>% of stock</t>
  </si>
  <si>
    <t>What to do</t>
  </si>
  <si>
    <t>Fresh</t>
  </si>
  <si>
    <t>OK</t>
  </si>
  <si>
    <t>Watch</t>
  </si>
  <si>
    <t>Push in reels &amp; WhatsApp broadcast</t>
  </si>
  <si>
    <t>Ageing</t>
  </si>
  <si>
    <t>Markdown 20-30%</t>
  </si>
  <si>
    <t>Dead</t>
  </si>
  <si>
    <t>Clearance / exchange with vendor</t>
  </si>
  <si>
    <t>Inputs</t>
  </si>
  <si>
    <t>Yellow cells are inputs. All values are PLACEHOLDERS until you overwrite them. INR, ex-GST.</t>
  </si>
  <si>
    <t>General</t>
  </si>
  <si>
    <t>Store name</t>
  </si>
  <si>
    <t>Ma Lakhsmi Stores</t>
  </si>
  <si>
    <t>Plan start month (1st of month)</t>
  </si>
  <si>
    <t>Working capital (₹)</t>
  </si>
  <si>
    <t>One-time setup costs (₹)</t>
  </si>
  <si>
    <t>Base monthly sales, all categories (₹, selling price)</t>
  </si>
  <si>
    <t>GST rate on sarees (reference only)</t>
  </si>
  <si>
    <t>Cash buffer (months of fixed costs)</t>
  </si>
  <si>
    <t>Review as-of date</t>
  </si>
  <si>
    <t>Thresholds</t>
  </si>
  <si>
    <t>Mix tolerance (± share of stock)</t>
  </si>
  <si>
    <t>Minimum healthy sell-through</t>
  </si>
  <si>
    <t>Max weeks of cover</t>
  </si>
  <si>
    <t>Aging: 'Watch' after (days)</t>
  </si>
  <si>
    <t>Aging: 'Ageing / markdown' after (days)</t>
  </si>
  <si>
    <t>Aging: 'Dead stock' after (days)</t>
  </si>
  <si>
    <t>Monthly fixed costs (₹)</t>
  </si>
  <si>
    <t>Rent</t>
  </si>
  <si>
    <t>Staff salaries (4)</t>
  </si>
  <si>
    <t>Electricity</t>
  </si>
  <si>
    <t>Loan EMI</t>
  </si>
  <si>
    <t>Marketing (WhatsApp API, ads)</t>
  </si>
  <si>
    <t>Misc / maintenance</t>
  </si>
  <si>
    <t>Total monthly fixed costs</t>
  </si>
  <si>
    <t>Categories</t>
  </si>
  <si>
    <t>Target mix %</t>
  </si>
  <si>
    <t>Target gross margin %</t>
  </si>
  <si>
    <t>Months of cover (closing stock ÷ next month sales)</t>
  </si>
  <si>
    <t>Opening stock (₹ at cost)</t>
  </si>
  <si>
    <t>Surat %</t>
  </si>
  <si>
    <t>Burrabazar %</t>
  </si>
  <si>
    <t>Other %</t>
  </si>
  <si>
    <t>Split check</t>
  </si>
  <si>
    <t>Daily Wear</t>
  </si>
  <si>
    <t>Festive Handlooms</t>
  </si>
  <si>
    <t>Party Wear Synthetics</t>
  </si>
  <si>
    <t>Bridal</t>
  </si>
  <si>
    <t>Seasonality (Jalpaiguri / Bengal festival calendar)</t>
  </si>
  <si>
    <t>Month</t>
  </si>
  <si>
    <t>Sales index (1.0 = base)</t>
  </si>
  <si>
    <t>Why</t>
  </si>
  <si>
    <t>Jan</t>
  </si>
  <si>
    <t>Wedding season</t>
  </si>
  <si>
    <t>Feb</t>
  </si>
  <si>
    <t>Wedding season, Saraswati Puja</t>
  </si>
  <si>
    <t>Mar</t>
  </si>
  <si>
    <t>Year-end lull</t>
  </si>
  <si>
    <t>Apr</t>
  </si>
  <si>
    <t>Poila Boishakh</t>
  </si>
  <si>
    <t>May</t>
  </si>
  <si>
    <t>Summer, some weddings</t>
  </si>
  <si>
    <t>Jun</t>
  </si>
  <si>
    <t>Monsoon slowdown</t>
  </si>
  <si>
    <t>Jul</t>
  </si>
  <si>
    <t>Aug</t>
  </si>
  <si>
    <t>Pre-Puja build-up starts</t>
  </si>
  <si>
    <t>Sep</t>
  </si>
  <si>
    <t>Durga Puja shopping</t>
  </si>
  <si>
    <t>Oct</t>
  </si>
  <si>
    <t>Durga Puja / Diwali peak</t>
  </si>
  <si>
    <t>Nov</t>
  </si>
  <si>
    <t>Wedding season starts</t>
  </si>
  <si>
    <t>Dec</t>
  </si>
  <si>
    <t>Monthly Open-to-Buy plan (₹ at cost unless stated)</t>
  </si>
  <si>
    <t>OTB = planned sales at cost + planned closing stock − opening stock − on order, then capped by cash.</t>
  </si>
  <si>
    <t>Seasonality index</t>
  </si>
  <si>
    <t>Next month's index</t>
  </si>
  <si>
    <t>Planned sales (₹ selling price)</t>
  </si>
  <si>
    <t>Planned sales at cost</t>
  </si>
  <si>
    <t>Planned closing stock</t>
  </si>
  <si>
    <t>Opening stock</t>
  </si>
  <si>
    <t>On order (enter)</t>
  </si>
  <si>
    <t>Required OTB</t>
  </si>
  <si>
    <t>APPROVED OTB (cash-capped)</t>
  </si>
  <si>
    <t xml:space="preserve">  → carry to Surat</t>
  </si>
  <si>
    <t xml:space="preserve">  → carry to Burrabazar</t>
  </si>
  <si>
    <t xml:space="preserve">  → carry to Other</t>
  </si>
  <si>
    <t>Actually bought (Stock Aging)</t>
  </si>
  <si>
    <t>OTB remaining</t>
  </si>
  <si>
    <t>Cash guardrail</t>
  </si>
  <si>
    <t>Total required OTB</t>
  </si>
  <si>
    <t>Opening cash</t>
  </si>
  <si>
    <t>Planned sales inflow (₹ selling price)</t>
  </si>
  <si>
    <t>Fixed costs</t>
  </si>
  <si>
    <t>Cash buffer to protect</t>
  </si>
  <si>
    <t>Cash cap scale (1 = fully funded)</t>
  </si>
  <si>
    <t>Approved OTB total</t>
  </si>
  <si>
    <t>Closing cash</t>
  </si>
  <si>
    <t>Assumes sales cash lands the same month. 'Opening stock' assumes last month's plan was hit — correct it with real stock value if you're far off.</t>
  </si>
  <si>
    <t>Sales Log — enter weekly</t>
  </si>
  <si>
    <t>One row per week × category × source. Sales ₹ at selling price, ex-GST.</t>
  </si>
  <si>
    <t>EXAMPLE ROW — not counted</t>
  </si>
  <si>
    <t>Week start date</t>
  </si>
  <si>
    <t>Units sold</t>
  </si>
  <si>
    <t>Sales ₹ (selling price, ex-GST)</t>
  </si>
  <si>
    <t>Notes</t>
  </si>
  <si>
    <t>Month (auto)</t>
  </si>
  <si>
    <t>Stock Aging — one row per purchase lot</t>
  </si>
  <si>
    <t>Doubles as the purchase register: what you buy here is what counts against OTB. Update 'Qty sold' weekly.</t>
  </si>
  <si>
    <t>SUR-2611-01</t>
  </si>
  <si>
    <t>Printed cotton, 6.3m</t>
  </si>
  <si>
    <t>← example only, not counted</t>
  </si>
  <si>
    <t>Lot ID</t>
  </si>
  <si>
    <t>Purchase date</t>
  </si>
  <si>
    <t>Description / fabric</t>
  </si>
  <si>
    <t>Qty bought</t>
  </si>
  <si>
    <t>Unit cost (₹)</t>
  </si>
  <si>
    <t>Qty sold</t>
  </si>
  <si>
    <t>Qty left</t>
  </si>
  <si>
    <t>Stock value (₹ at cost)</t>
  </si>
  <si>
    <t>Days held</t>
  </si>
  <si>
    <t>Action</t>
  </si>
  <si>
    <t>Purchase value (₹)</t>
  </si>
  <si>
    <t>Purchase month (auto)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</si>
</sst>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&quot;₹&quot;#,##0;\(&quot;₹&quot;#,##0\);&quot;-&quot;"/>
    <numFmt numFmtId="166" formatCode="0.0%;\(0.0%\);&quot;-&quot;"/>
    <numFmt numFmtId="167" formatCode="0.0;\(0.0\);&quot;-&quot;"/>
  </numFmts>
  <fonts count="8" x14ac:knownFonts="1">
    <font>
      <sz val="11"/>
      <color theme="1"/>
      <name val="Calibri"/>
      <family val="2"/>
      <scheme val="minor"/>
    </font>
    <font>
      <b/>
      <sz val="14"/>
      <color rgb="FF7A1F3D"/>
      <name val="Arial"/>
    </font>
    <font>
      <i/>
      <sz val="9"/>
      <color rgb="FF666666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008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7A1F3D"/>
      </patternFill>
    </fill>
    <fill>
      <patternFill patternType="solid">
        <fgColor rgb="FFF3E3E8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17" fontId="3" fillId="0" borderId="0" xfId="0" applyNumberFormat="1" applyFont="1"/>
    <xf numFmtId="0" fontId="3" fillId="0" borderId="0" xfId="0" applyFont="1"/>
    <xf numFmtId="0" fontId="6" fillId="3" borderId="0" xfId="0" applyFont="1" applyFill="1" applyAlignment="1">
      <alignment vertical="center" wrapText="1"/>
    </xf>
    <xf numFmtId="0" fontId="7" fillId="0" borderId="0" xfId="0" applyFont="1"/>
    <xf numFmtId="166" fontId="7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7" fontId="4" fillId="0" borderId="0" xfId="0" applyNumberFormat="1" applyFont="1"/>
    <xf numFmtId="165" fontId="7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4" fillId="5" borderId="0" xfId="0" applyFont="1" applyFill="1"/>
    <xf numFmtId="0" fontId="4" fillId="6" borderId="0" xfId="0" applyFont="1" applyFill="1"/>
    <xf numFmtId="0" fontId="5" fillId="2" borderId="0" xfId="0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166" fontId="5" fillId="2" borderId="0" xfId="0" applyNumberFormat="1" applyFont="1" applyFill="1"/>
    <xf numFmtId="167" fontId="5" fillId="2" borderId="0" xfId="0" applyNumberFormat="1" applyFont="1" applyFill="1"/>
    <xf numFmtId="1" fontId="5" fillId="2" borderId="0" xfId="0" applyNumberFormat="1" applyFont="1" applyFill="1"/>
    <xf numFmtId="2" fontId="5" fillId="2" borderId="0" xfId="0" applyNumberFormat="1" applyFont="1" applyFill="1"/>
    <xf numFmtId="2" fontId="7" fillId="0" borderId="0" xfId="0" applyNumberFormat="1" applyFont="1"/>
    <xf numFmtId="0" fontId="6" fillId="3" borderId="0" xfId="0" applyFont="1" applyFill="1"/>
    <xf numFmtId="0" fontId="0" fillId="3" borderId="0" xfId="0" applyFill="1"/>
    <xf numFmtId="165" fontId="3" fillId="4" borderId="0" xfId="0" applyNumberFormat="1" applyFont="1" applyFill="1"/>
    <xf numFmtId="9" fontId="3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17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FFF2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showGridLines="0"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ht="25.5" x14ac:dyDescent="0.25">
      <c r="A5" s="4" t="s">
        <v>3</v>
      </c>
    </row>
    <row r="6" spans="1:1" x14ac:dyDescent="0.25">
      <c r="A6" s="4"/>
    </row>
    <row r="7" spans="1:1" x14ac:dyDescent="0.25">
      <c r="A7" s="3" t="s">
        <v>4</v>
      </c>
    </row>
    <row r="8" spans="1:1" ht="25.5" x14ac:dyDescent="0.25">
      <c r="A8" s="4" t="s">
        <v>5</v>
      </c>
    </row>
    <row r="9" spans="1:1" x14ac:dyDescent="0.25">
      <c r="A9" s="4"/>
    </row>
    <row r="10" spans="1:1" x14ac:dyDescent="0.25">
      <c r="A10" s="3" t="s">
        <v>6</v>
      </c>
    </row>
    <row r="11" spans="1:1" ht="25.5" x14ac:dyDescent="0.25">
      <c r="A11" s="4" t="s">
        <v>7</v>
      </c>
    </row>
    <row r="12" spans="1:1" ht="25.5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3" t="s">
        <v>12</v>
      </c>
    </row>
    <row r="18" spans="1:1" ht="25.5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/>
    </row>
    <row r="22" spans="1:1" x14ac:dyDescent="0.25">
      <c r="A22" s="3" t="s">
        <v>16</v>
      </c>
    </row>
    <row r="23" spans="1:1" x14ac:dyDescent="0.25">
      <c r="A23" s="4" t="s">
        <v>17</v>
      </c>
    </row>
    <row r="24" spans="1:1" x14ac:dyDescent="0.25">
      <c r="A24" s="4" t="s">
        <v>18</v>
      </c>
    </row>
    <row r="25" spans="1:1" x14ac:dyDescent="0.25">
      <c r="A25" s="4" t="s">
        <v>19</v>
      </c>
    </row>
    <row r="26" spans="1:1" x14ac:dyDescent="0.25">
      <c r="A26" s="4" t="s">
        <v>20</v>
      </c>
    </row>
    <row r="27" spans="1:1" x14ac:dyDescent="0.25">
      <c r="A27" s="4" t="s">
        <v>21</v>
      </c>
    </row>
    <row r="28" spans="1:1" x14ac:dyDescent="0.25">
      <c r="A28" s="4"/>
    </row>
    <row r="29" spans="1:1" x14ac:dyDescent="0.25">
      <c r="A29" s="3" t="s">
        <v>22</v>
      </c>
    </row>
    <row r="30" spans="1:1" ht="25.5" x14ac:dyDescent="0.25">
      <c r="A30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showGridLines="0" topLeftCell="A10" workbookViewId="0">
      <selection activeCell="B9" sqref="B9"/>
    </sheetView>
  </sheetViews>
  <sheetFormatPr defaultRowHeight="15" x14ac:dyDescent="0.25"/>
  <cols>
    <col min="1" max="1" width="34" customWidth="1"/>
    <col min="2" max="2" width="16" customWidth="1"/>
    <col min="3" max="3" width="14" customWidth="1"/>
    <col min="4" max="4" width="12" customWidth="1"/>
    <col min="5" max="6" width="16" customWidth="1"/>
    <col min="7" max="8" width="12" customWidth="1"/>
    <col min="9" max="9" width="16" customWidth="1"/>
    <col min="10" max="10" width="14" customWidth="1"/>
    <col min="11" max="11" width="13" customWidth="1"/>
    <col min="12" max="12" width="30" customWidth="1"/>
  </cols>
  <sheetData>
    <row r="1" spans="1:12" ht="18" x14ac:dyDescent="0.25">
      <c r="A1" s="1" t="s">
        <v>24</v>
      </c>
    </row>
    <row r="2" spans="1:12" x14ac:dyDescent="0.25">
      <c r="A2" s="2" t="str">
        <f ca="1">"As of "&amp;TEXT(Inputs!$B$11,"dd-mmm-yyyy")&amp;"  |  Change the date on Inputs!B11"</f>
        <v>As of 24-Oct-2026  |  Change the date on Inputs!B11</v>
      </c>
    </row>
    <row r="4" spans="1:12" x14ac:dyDescent="0.25">
      <c r="A4" s="5" t="s">
        <v>25</v>
      </c>
      <c r="B4" s="6">
        <f ca="1">DATE(YEAR(Inputs!$B$11),MONTH(Inputs!$B$11),1)</f>
        <v>46296</v>
      </c>
    </row>
    <row r="5" spans="1:12" x14ac:dyDescent="0.25">
      <c r="A5" s="5" t="s">
        <v>26</v>
      </c>
      <c r="B5" s="7">
        <f ca="1">IFERROR(MATCH(B4,'Monthly OTB'!$C$4:$N$4,0),0)</f>
        <v>0</v>
      </c>
      <c r="C5" s="2" t="str">
        <f ca="1">IF(B5=0,"As-of date is outside the 12-month plan — rebuild or change Inputs!B5","")</f>
        <v>As-of date is outside the 12-month plan — rebuild or change Inputs!B5</v>
      </c>
    </row>
    <row r="7" spans="1:12" x14ac:dyDescent="0.25">
      <c r="A7" s="7" t="s">
        <v>27</v>
      </c>
    </row>
    <row r="8" spans="1:12" ht="30" customHeight="1" x14ac:dyDescent="0.25">
      <c r="A8" s="8" t="s">
        <v>28</v>
      </c>
      <c r="B8" s="8" t="s">
        <v>29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34</v>
      </c>
      <c r="H8" s="8" t="s">
        <v>35</v>
      </c>
      <c r="I8" s="8" t="s">
        <v>36</v>
      </c>
      <c r="J8" s="8" t="s">
        <v>37</v>
      </c>
      <c r="K8" s="8" t="s">
        <v>38</v>
      </c>
      <c r="L8" s="8" t="s">
        <v>39</v>
      </c>
    </row>
    <row r="9" spans="1:12" x14ac:dyDescent="0.25">
      <c r="A9" s="9" t="str">
        <f>Inputs!$A$31</f>
        <v>Daily Wear</v>
      </c>
      <c r="B9" s="10">
        <f>Inputs!$B$31</f>
        <v>0.3</v>
      </c>
      <c r="C9" s="11">
        <f>IF($F$13=0,0,F9/$F$13)</f>
        <v>0</v>
      </c>
      <c r="D9" s="11">
        <f>C9-B9</f>
        <v>-0.3</v>
      </c>
      <c r="E9" s="5" t="str">
        <f>IF($F$13=0,"No stock yet",IF(D9&gt;Inputs!$B$13,"OVER-INDEXED",IF(D9&lt;-Inputs!$B$13,"UNDER-STOCKED","Balanced")))</f>
        <v>No stock yet</v>
      </c>
      <c r="F9" s="12">
        <f>SUMIFS('Stock Aging'!$J$6:$J$1005,'Stock Aging'!$C$6:$C$1005,$A9)</f>
        <v>0</v>
      </c>
      <c r="G9" s="11" t="str">
        <f>IF(SUMIFS('Stock Aging'!$F$6:$F$1005,'Stock Aging'!$C$6:$C$1005,$A9)=0,"",SUMIFS('Stock Aging'!$H$6:$H$1005,'Stock Aging'!$C$6:$C$1005,$A9)/SUMIFS('Stock Aging'!$F$6:$F$1005,'Stock Aging'!$C$6:$C$1005,$A9))</f>
        <v/>
      </c>
      <c r="H9" s="13" t="str">
        <f ca="1">IF(SUMIFS('Sales Log'!$E$6:$E$1005,'Sales Log'!$B$6:$B$1005,$A9,'Sales Log'!$A$6:$A$1005,"&gt;="&amp;(Inputs!$B$11-27),'Sales Log'!$A$6:$A$1005,"&lt;="&amp;Inputs!$B$11)=0,"",F9/(SUMIFS('Sales Log'!$E$6:$E$1005,'Sales Log'!$B$6:$B$1005,$A9,'Sales Log'!$A$6:$A$1005,"&gt;="&amp;(Inputs!$B$11-27),'Sales Log'!$A$6:$A$1005,"&lt;="&amp;Inputs!$B$11)/4*(1-Inputs!$C$31)))</f>
        <v/>
      </c>
      <c r="I9" s="14">
        <f ca="1">IF($B$5=0,0,INDEX('Monthly OTB'!$C$15:$N$15,$B$5))</f>
        <v>0</v>
      </c>
      <c r="J9" s="12">
        <f ca="1">SUMIFS('Stock Aging'!$N$6:$N$1005,'Stock Aging'!$C$6:$C$1005,$A9,'Stock Aging'!$O$6:$O$1005,$B$4)</f>
        <v>0</v>
      </c>
      <c r="K9" s="12">
        <f ca="1">I9-J9</f>
        <v>0</v>
      </c>
      <c r="L9" s="7" t="str">
        <f ca="1">IF(K9&lt;0,"PAUSE – over OTB budget",IF(E9="OVER-INDEXED","PAUSE PROCUREMENT",IF(AND(H9&lt;&gt;"",N(H9)&gt;Inputs!$B$15),"PAUSE – too much cover",IF(AND(G9&lt;&gt;"",N(G9)&lt;Inputs!$B$14),"SLOW – sell-through low",IF(E9="UNDER-STOCKED","PRIORITISE – buy up to OTB","BUY within OTB")))))</f>
        <v>BUY within OTB</v>
      </c>
    </row>
    <row r="10" spans="1:12" x14ac:dyDescent="0.25">
      <c r="A10" s="9" t="str">
        <f>Inputs!$A$32</f>
        <v>Festive Handlooms</v>
      </c>
      <c r="B10" s="10">
        <f>Inputs!$B$32</f>
        <v>0.35</v>
      </c>
      <c r="C10" s="11">
        <f>IF($F$13=0,0,F10/$F$13)</f>
        <v>0</v>
      </c>
      <c r="D10" s="11">
        <f>C10-B10</f>
        <v>-0.35</v>
      </c>
      <c r="E10" s="5" t="str">
        <f>IF($F$13=0,"No stock yet",IF(D10&gt;Inputs!$B$13,"OVER-INDEXED",IF(D10&lt;-Inputs!$B$13,"UNDER-STOCKED","Balanced")))</f>
        <v>No stock yet</v>
      </c>
      <c r="F10" s="12">
        <f>SUMIFS('Stock Aging'!$J$6:$J$1005,'Stock Aging'!$C$6:$C$1005,$A10)</f>
        <v>0</v>
      </c>
      <c r="G10" s="11" t="str">
        <f>IF(SUMIFS('Stock Aging'!$F$6:$F$1005,'Stock Aging'!$C$6:$C$1005,$A10)=0,"",SUMIFS('Stock Aging'!$H$6:$H$1005,'Stock Aging'!$C$6:$C$1005,$A10)/SUMIFS('Stock Aging'!$F$6:$F$1005,'Stock Aging'!$C$6:$C$1005,$A10))</f>
        <v/>
      </c>
      <c r="H10" s="13" t="str">
        <f ca="1">IF(SUMIFS('Sales Log'!$E$6:$E$1005,'Sales Log'!$B$6:$B$1005,$A10,'Sales Log'!$A$6:$A$1005,"&gt;="&amp;(Inputs!$B$11-27),'Sales Log'!$A$6:$A$1005,"&lt;="&amp;Inputs!$B$11)=0,"",F10/(SUMIFS('Sales Log'!$E$6:$E$1005,'Sales Log'!$B$6:$B$1005,$A10,'Sales Log'!$A$6:$A$1005,"&gt;="&amp;(Inputs!$B$11-27),'Sales Log'!$A$6:$A$1005,"&lt;="&amp;Inputs!$B$11)/4*(1-Inputs!$C$32)))</f>
        <v/>
      </c>
      <c r="I10" s="14">
        <f ca="1">IF($B$5=0,0,INDEX('Monthly OTB'!$C$29:$N$29,$B$5))</f>
        <v>0</v>
      </c>
      <c r="J10" s="12">
        <f ca="1">SUMIFS('Stock Aging'!$N$6:$N$1005,'Stock Aging'!$C$6:$C$1005,$A10,'Stock Aging'!$O$6:$O$1005,$B$4)</f>
        <v>0</v>
      </c>
      <c r="K10" s="12">
        <f ca="1">I10-J10</f>
        <v>0</v>
      </c>
      <c r="L10" s="7" t="str">
        <f ca="1">IF(K10&lt;0,"PAUSE – over OTB budget",IF(E10="OVER-INDEXED","PAUSE PROCUREMENT",IF(AND(H10&lt;&gt;"",N(H10)&gt;Inputs!$B$15),"PAUSE – too much cover",IF(AND(G10&lt;&gt;"",N(G10)&lt;Inputs!$B$14),"SLOW – sell-through low",IF(E10="UNDER-STOCKED","PRIORITISE – buy up to OTB","BUY within OTB")))))</f>
        <v>BUY within OTB</v>
      </c>
    </row>
    <row r="11" spans="1:12" x14ac:dyDescent="0.25">
      <c r="A11" s="9" t="str">
        <f>Inputs!$A$33</f>
        <v>Party Wear Synthetics</v>
      </c>
      <c r="B11" s="10">
        <f>Inputs!$B$33</f>
        <v>0.25</v>
      </c>
      <c r="C11" s="11">
        <f>IF($F$13=0,0,F11/$F$13)</f>
        <v>0</v>
      </c>
      <c r="D11" s="11">
        <f>C11-B11</f>
        <v>-0.25</v>
      </c>
      <c r="E11" s="5" t="str">
        <f>IF($F$13=0,"No stock yet",IF(D11&gt;Inputs!$B$13,"OVER-INDEXED",IF(D11&lt;-Inputs!$B$13,"UNDER-STOCKED","Balanced")))</f>
        <v>No stock yet</v>
      </c>
      <c r="F11" s="12">
        <f>SUMIFS('Stock Aging'!$J$6:$J$1005,'Stock Aging'!$C$6:$C$1005,$A11)</f>
        <v>0</v>
      </c>
      <c r="G11" s="11" t="str">
        <f>IF(SUMIFS('Stock Aging'!$F$6:$F$1005,'Stock Aging'!$C$6:$C$1005,$A11)=0,"",SUMIFS('Stock Aging'!$H$6:$H$1005,'Stock Aging'!$C$6:$C$1005,$A11)/SUMIFS('Stock Aging'!$F$6:$F$1005,'Stock Aging'!$C$6:$C$1005,$A11))</f>
        <v/>
      </c>
      <c r="H11" s="13" t="str">
        <f ca="1">IF(SUMIFS('Sales Log'!$E$6:$E$1005,'Sales Log'!$B$6:$B$1005,$A11,'Sales Log'!$A$6:$A$1005,"&gt;="&amp;(Inputs!$B$11-27),'Sales Log'!$A$6:$A$1005,"&lt;="&amp;Inputs!$B$11)=0,"",F11/(SUMIFS('Sales Log'!$E$6:$E$1005,'Sales Log'!$B$6:$B$1005,$A11,'Sales Log'!$A$6:$A$1005,"&gt;="&amp;(Inputs!$B$11-27),'Sales Log'!$A$6:$A$1005,"&lt;="&amp;Inputs!$B$11)/4*(1-Inputs!$C$33)))</f>
        <v/>
      </c>
      <c r="I11" s="14">
        <f ca="1">IF($B$5=0,0,INDEX('Monthly OTB'!$C$43:$N$43,$B$5))</f>
        <v>0</v>
      </c>
      <c r="J11" s="12">
        <f ca="1">SUMIFS('Stock Aging'!$N$6:$N$1005,'Stock Aging'!$C$6:$C$1005,$A11,'Stock Aging'!$O$6:$O$1005,$B$4)</f>
        <v>0</v>
      </c>
      <c r="K11" s="12">
        <f ca="1">I11-J11</f>
        <v>0</v>
      </c>
      <c r="L11" s="7" t="str">
        <f ca="1">IF(K11&lt;0,"PAUSE – over OTB budget",IF(E11="OVER-INDEXED","PAUSE PROCUREMENT",IF(AND(H11&lt;&gt;"",N(H11)&gt;Inputs!$B$15),"PAUSE – too much cover",IF(AND(G11&lt;&gt;"",N(G11)&lt;Inputs!$B$14),"SLOW – sell-through low",IF(E11="UNDER-STOCKED","PRIORITISE – buy up to OTB","BUY within OTB")))))</f>
        <v>BUY within OTB</v>
      </c>
    </row>
    <row r="12" spans="1:12" x14ac:dyDescent="0.25">
      <c r="A12" s="9" t="str">
        <f>Inputs!$A$34</f>
        <v>Bridal</v>
      </c>
      <c r="B12" s="10">
        <f>Inputs!$B$34</f>
        <v>0.1</v>
      </c>
      <c r="C12" s="11">
        <f>IF($F$13=0,0,F12/$F$13)</f>
        <v>0</v>
      </c>
      <c r="D12" s="11">
        <f>C12-B12</f>
        <v>-0.1</v>
      </c>
      <c r="E12" s="5" t="str">
        <f>IF($F$13=0,"No stock yet",IF(D12&gt;Inputs!$B$13,"OVER-INDEXED",IF(D12&lt;-Inputs!$B$13,"UNDER-STOCKED","Balanced")))</f>
        <v>No stock yet</v>
      </c>
      <c r="F12" s="12">
        <f>SUMIFS('Stock Aging'!$J$6:$J$1005,'Stock Aging'!$C$6:$C$1005,$A12)</f>
        <v>0</v>
      </c>
      <c r="G12" s="11" t="str">
        <f>IF(SUMIFS('Stock Aging'!$F$6:$F$1005,'Stock Aging'!$C$6:$C$1005,$A12)=0,"",SUMIFS('Stock Aging'!$H$6:$H$1005,'Stock Aging'!$C$6:$C$1005,$A12)/SUMIFS('Stock Aging'!$F$6:$F$1005,'Stock Aging'!$C$6:$C$1005,$A12))</f>
        <v/>
      </c>
      <c r="H12" s="13" t="str">
        <f ca="1">IF(SUMIFS('Sales Log'!$E$6:$E$1005,'Sales Log'!$B$6:$B$1005,$A12,'Sales Log'!$A$6:$A$1005,"&gt;="&amp;(Inputs!$B$11-27),'Sales Log'!$A$6:$A$1005,"&lt;="&amp;Inputs!$B$11)=0,"",F12/(SUMIFS('Sales Log'!$E$6:$E$1005,'Sales Log'!$B$6:$B$1005,$A12,'Sales Log'!$A$6:$A$1005,"&gt;="&amp;(Inputs!$B$11-27),'Sales Log'!$A$6:$A$1005,"&lt;="&amp;Inputs!$B$11)/4*(1-Inputs!$C$34)))</f>
        <v/>
      </c>
      <c r="I12" s="14">
        <f ca="1">IF($B$5=0,0,INDEX('Monthly OTB'!$C$57:$N$57,$B$5))</f>
        <v>0</v>
      </c>
      <c r="J12" s="12">
        <f ca="1">SUMIFS('Stock Aging'!$N$6:$N$1005,'Stock Aging'!$C$6:$C$1005,$A12,'Stock Aging'!$O$6:$O$1005,$B$4)</f>
        <v>0</v>
      </c>
      <c r="K12" s="12">
        <f ca="1">I12-J12</f>
        <v>0</v>
      </c>
      <c r="L12" s="7" t="str">
        <f ca="1">IF(K12&lt;0,"PAUSE – over OTB budget",IF(E12="OVER-INDEXED","PAUSE PROCUREMENT",IF(AND(H12&lt;&gt;"",N(H12)&gt;Inputs!$B$15),"PAUSE – too much cover",IF(AND(G12&lt;&gt;"",N(G12)&lt;Inputs!$B$14),"SLOW – sell-through low",IF(E12="UNDER-STOCKED","PRIORITISE – buy up to OTB","BUY within OTB")))))</f>
        <v>BUY within OTB</v>
      </c>
    </row>
    <row r="13" spans="1:12" x14ac:dyDescent="0.25">
      <c r="A13" s="7" t="s">
        <v>40</v>
      </c>
      <c r="B13" s="15">
        <f>SUM(B9:B12)</f>
        <v>0.99999999999999989</v>
      </c>
      <c r="C13" s="15">
        <f>SUM(C9:C12)</f>
        <v>0</v>
      </c>
      <c r="F13" s="16">
        <f>SUM(F9:F12)</f>
        <v>0</v>
      </c>
      <c r="I13" s="16">
        <f ca="1">SUM(I9:I12)</f>
        <v>0</v>
      </c>
      <c r="J13" s="16">
        <f ca="1">SUM(J9:J12)</f>
        <v>0</v>
      </c>
      <c r="K13" s="16">
        <f ca="1">SUM(K9:K12)</f>
        <v>0</v>
      </c>
    </row>
    <row r="15" spans="1:12" x14ac:dyDescent="0.25">
      <c r="A15" s="7" t="s">
        <v>41</v>
      </c>
    </row>
    <row r="16" spans="1:12" ht="25.5" x14ac:dyDescent="0.25">
      <c r="A16" s="8" t="s">
        <v>42</v>
      </c>
      <c r="B16" s="8" t="s">
        <v>43</v>
      </c>
      <c r="C16" s="8" t="s">
        <v>44</v>
      </c>
      <c r="D16" s="8" t="s">
        <v>45</v>
      </c>
    </row>
    <row r="17" spans="1:4" x14ac:dyDescent="0.25">
      <c r="A17" s="5" t="s">
        <v>46</v>
      </c>
      <c r="B17" s="12">
        <f ca="1">IF($B$5=0,0,INDEX('Monthly OTB'!$C$16:$N$16,$B$5)+INDEX('Monthly OTB'!$C$30:$N$30,$B$5)+INDEX('Monthly OTB'!$C$44:$N$44,$B$5)+INDEX('Monthly OTB'!$C$58:$N$58,$B$5))</f>
        <v>0</v>
      </c>
      <c r="C17" s="12">
        <f ca="1">SUMIFS('Stock Aging'!$N$6:$N$1005,'Stock Aging'!$D$6:$D$1005,$A17,'Stock Aging'!$O$6:$O$1005,$B$4)</f>
        <v>0</v>
      </c>
      <c r="D17" s="16">
        <f ca="1">B17-C17</f>
        <v>0</v>
      </c>
    </row>
    <row r="18" spans="1:4" x14ac:dyDescent="0.25">
      <c r="A18" s="5" t="s">
        <v>47</v>
      </c>
      <c r="B18" s="12">
        <f ca="1">IF($B$5=0,0,INDEX('Monthly OTB'!$C$17:$N$17,$B$5)+INDEX('Monthly OTB'!$C$31:$N$31,$B$5)+INDEX('Monthly OTB'!$C$45:$N$45,$B$5)+INDEX('Monthly OTB'!$C$59:$N$59,$B$5))</f>
        <v>0</v>
      </c>
      <c r="C18" s="12">
        <f ca="1">SUMIFS('Stock Aging'!$N$6:$N$1005,'Stock Aging'!$D$6:$D$1005,$A18,'Stock Aging'!$O$6:$O$1005,$B$4)</f>
        <v>0</v>
      </c>
      <c r="D18" s="16">
        <f ca="1">B18-C18</f>
        <v>0</v>
      </c>
    </row>
    <row r="19" spans="1:4" x14ac:dyDescent="0.25">
      <c r="A19" s="5" t="s">
        <v>48</v>
      </c>
      <c r="B19" s="12">
        <f ca="1">IF($B$5=0,0,INDEX('Monthly OTB'!$C$18:$N$18,$B$5)+INDEX('Monthly OTB'!$C$32:$N$32,$B$5)+INDEX('Monthly OTB'!$C$46:$N$46,$B$5)+INDEX('Monthly OTB'!$C$60:$N$60,$B$5))</f>
        <v>0</v>
      </c>
      <c r="C19" s="12">
        <f ca="1">SUMIFS('Stock Aging'!$N$6:$N$1005,'Stock Aging'!$D$6:$D$1005,$A19,'Stock Aging'!$O$6:$O$1005,$B$4)</f>
        <v>0</v>
      </c>
      <c r="D19" s="16">
        <f ca="1">B19-C19</f>
        <v>0</v>
      </c>
    </row>
    <row r="20" spans="1:4" x14ac:dyDescent="0.25">
      <c r="A20" s="7" t="s">
        <v>40</v>
      </c>
      <c r="B20" s="16">
        <f ca="1">SUM(B17:B19)</f>
        <v>0</v>
      </c>
      <c r="C20" s="16">
        <f ca="1">SUM(C17:C19)</f>
        <v>0</v>
      </c>
      <c r="D20" s="16">
        <f ca="1">SUM(D17:D19)</f>
        <v>0</v>
      </c>
    </row>
    <row r="22" spans="1:4" x14ac:dyDescent="0.25">
      <c r="A22" s="7" t="s">
        <v>49</v>
      </c>
    </row>
    <row r="23" spans="1:4" x14ac:dyDescent="0.25">
      <c r="A23" s="5" t="s">
        <v>50</v>
      </c>
      <c r="B23" s="12">
        <f>Inputs!$B$6</f>
        <v>1000000</v>
      </c>
    </row>
    <row r="24" spans="1:4" x14ac:dyDescent="0.25">
      <c r="A24" s="5" t="s">
        <v>51</v>
      </c>
      <c r="B24" s="12">
        <f>Inputs!$B$7</f>
        <v>250000</v>
      </c>
    </row>
    <row r="25" spans="1:4" x14ac:dyDescent="0.25">
      <c r="A25" s="5" t="s">
        <v>52</v>
      </c>
      <c r="B25" s="12">
        <f>Inputs!$B$27</f>
        <v>103000</v>
      </c>
    </row>
    <row r="26" spans="1:4" x14ac:dyDescent="0.25">
      <c r="A26" s="5" t="s">
        <v>53</v>
      </c>
      <c r="B26" s="12">
        <f>Inputs!$B$27*Inputs!$B$10</f>
        <v>206000</v>
      </c>
    </row>
    <row r="27" spans="1:4" x14ac:dyDescent="0.25">
      <c r="A27" s="5" t="s">
        <v>54</v>
      </c>
      <c r="B27" s="12">
        <f ca="1">IF($B$5=0,0,INDEX('Monthly OTB'!$C$68:$N$68,$B$5))</f>
        <v>0</v>
      </c>
    </row>
    <row r="28" spans="1:4" x14ac:dyDescent="0.25">
      <c r="A28" s="5" t="s">
        <v>55</v>
      </c>
      <c r="B28" s="12">
        <f ca="1">SUMIFS('Sales Log'!$E$6:$E$1005,'Sales Log'!$G$6:$G$1005,$B$4)</f>
        <v>0</v>
      </c>
    </row>
    <row r="29" spans="1:4" x14ac:dyDescent="0.25">
      <c r="A29" s="5" t="s">
        <v>56</v>
      </c>
      <c r="B29" s="11" t="str">
        <f ca="1">IF(B27=0,"",B28/B27)</f>
        <v/>
      </c>
    </row>
    <row r="30" spans="1:4" x14ac:dyDescent="0.25">
      <c r="A30" s="5" t="s">
        <v>57</v>
      </c>
      <c r="B30" s="16">
        <f ca="1">IF($B$5=0,0,INDEX('Monthly OTB'!$C$73:$N$73,$B$5))</f>
        <v>0</v>
      </c>
    </row>
    <row r="31" spans="1:4" x14ac:dyDescent="0.25">
      <c r="A31" s="5" t="s">
        <v>58</v>
      </c>
      <c r="B31" s="13">
        <f ca="1">IF($B$5=0,0,INDEX('Monthly OTB'!$C$74:$N$74,$B$5))</f>
        <v>0</v>
      </c>
    </row>
    <row r="32" spans="1:4" x14ac:dyDescent="0.25">
      <c r="A32" s="5" t="s">
        <v>59</v>
      </c>
      <c r="B32" s="7" t="str">
        <f ca="1">IF($B$5=0,"-",INDEX('Monthly OTB'!$C$75:$N$75,$B$5))</f>
        <v>-</v>
      </c>
    </row>
    <row r="34" spans="1:4" x14ac:dyDescent="0.25">
      <c r="A34" s="7" t="s">
        <v>60</v>
      </c>
    </row>
    <row r="35" spans="1:4" x14ac:dyDescent="0.25">
      <c r="A35" s="8" t="s">
        <v>61</v>
      </c>
      <c r="B35" s="8" t="s">
        <v>62</v>
      </c>
      <c r="C35" s="8" t="s">
        <v>63</v>
      </c>
      <c r="D35" s="8" t="s">
        <v>64</v>
      </c>
    </row>
    <row r="36" spans="1:4" x14ac:dyDescent="0.25">
      <c r="A36" s="5" t="s">
        <v>65</v>
      </c>
      <c r="B36" s="12">
        <f>SUMIFS('Stock Aging'!$J$6:$J$1005,'Stock Aging'!$L$6:$L$1005,$A36)</f>
        <v>0</v>
      </c>
      <c r="C36" s="11">
        <f>IF(SUM($B$36:$B$39)=0,0,B36/SUM($B$36:$B$39))</f>
        <v>0</v>
      </c>
      <c r="D36" s="2" t="s">
        <v>66</v>
      </c>
    </row>
    <row r="37" spans="1:4" x14ac:dyDescent="0.25">
      <c r="A37" s="5" t="s">
        <v>67</v>
      </c>
      <c r="B37" s="12">
        <f>SUMIFS('Stock Aging'!$J$6:$J$1005,'Stock Aging'!$L$6:$L$1005,$A37)</f>
        <v>0</v>
      </c>
      <c r="C37" s="11">
        <f>IF(SUM($B$36:$B$39)=0,0,B37/SUM($B$36:$B$39))</f>
        <v>0</v>
      </c>
      <c r="D37" s="2" t="s">
        <v>68</v>
      </c>
    </row>
    <row r="38" spans="1:4" x14ac:dyDescent="0.25">
      <c r="A38" s="17" t="s">
        <v>69</v>
      </c>
      <c r="B38" s="12">
        <f>SUMIFS('Stock Aging'!$J$6:$J$1005,'Stock Aging'!$L$6:$L$1005,$A38)</f>
        <v>0</v>
      </c>
      <c r="C38" s="11">
        <f>IF(SUM($B$36:$B$39)=0,0,B38/SUM($B$36:$B$39))</f>
        <v>0</v>
      </c>
      <c r="D38" s="2" t="s">
        <v>70</v>
      </c>
    </row>
    <row r="39" spans="1:4" x14ac:dyDescent="0.25">
      <c r="A39" s="18" t="s">
        <v>71</v>
      </c>
      <c r="B39" s="12">
        <f>SUMIFS('Stock Aging'!$J$6:$J$1005,'Stock Aging'!$L$6:$L$1005,$A39)</f>
        <v>0</v>
      </c>
      <c r="C39" s="11">
        <f>IF(SUM($B$36:$B$39)=0,0,B39/SUM($B$36:$B$39))</f>
        <v>0</v>
      </c>
      <c r="D39" s="2" t="s">
        <v>72</v>
      </c>
    </row>
  </sheetData>
  <conditionalFormatting sqref="D17:D20">
    <cfRule type="cellIs" dxfId="14" priority="6" operator="lessThan">
      <formula>0</formula>
    </cfRule>
  </conditionalFormatting>
  <conditionalFormatting sqref="E9:E12">
    <cfRule type="cellIs" dxfId="13" priority="4" operator="equal">
      <formula>"OVER-INDEXED"</formula>
    </cfRule>
  </conditionalFormatting>
  <conditionalFormatting sqref="K9:K12">
    <cfRule type="cellIs" dxfId="12" priority="5" operator="lessThan">
      <formula>0</formula>
    </cfRule>
  </conditionalFormatting>
  <conditionalFormatting sqref="L9:L12">
    <cfRule type="expression" dxfId="11" priority="1">
      <formula>LEFT(L9,5)="PAUSE"</formula>
    </cfRule>
    <cfRule type="expression" dxfId="10" priority="2">
      <formula>LEFT(L9,4)="SLOW"</formula>
    </cfRule>
    <cfRule type="expression" dxfId="9" priority="3">
      <formula>OR(LEFT(L9,3)="BUY",LEFT(L9,10)="PRIORITISE")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showGridLines="0" tabSelected="1" workbookViewId="0">
      <pane ySplit="3" topLeftCell="A4" activePane="bottomLeft" state="frozen"/>
      <selection pane="bottomLeft" activeCell="B8" sqref="B8"/>
    </sheetView>
  </sheetViews>
  <sheetFormatPr defaultRowHeight="15" x14ac:dyDescent="0.25"/>
  <cols>
    <col min="1" max="1" width="46" customWidth="1"/>
    <col min="2" max="2" width="18" customWidth="1"/>
    <col min="3" max="3" width="22" customWidth="1"/>
    <col min="4" max="4" width="26" customWidth="1"/>
    <col min="5" max="5" width="20" customWidth="1"/>
    <col min="6" max="6" width="11" customWidth="1"/>
    <col min="7" max="7" width="13" customWidth="1"/>
    <col min="8" max="8" width="11" customWidth="1"/>
    <col min="9" max="9" width="18" customWidth="1"/>
  </cols>
  <sheetData>
    <row r="1" spans="1:2" ht="18" x14ac:dyDescent="0.25">
      <c r="A1" s="1" t="s">
        <v>73</v>
      </c>
    </row>
    <row r="2" spans="1:2" x14ac:dyDescent="0.25">
      <c r="A2" s="2" t="s">
        <v>74</v>
      </c>
    </row>
    <row r="3" spans="1:2" x14ac:dyDescent="0.25">
      <c r="A3" s="7" t="s">
        <v>75</v>
      </c>
    </row>
    <row r="4" spans="1:2" x14ac:dyDescent="0.25">
      <c r="A4" s="5" t="s">
        <v>76</v>
      </c>
      <c r="B4" s="19" t="s">
        <v>77</v>
      </c>
    </row>
    <row r="5" spans="1:2" x14ac:dyDescent="0.25">
      <c r="A5" s="5" t="s">
        <v>78</v>
      </c>
      <c r="B5" s="20">
        <v>46327</v>
      </c>
    </row>
    <row r="6" spans="1:2" x14ac:dyDescent="0.25">
      <c r="A6" s="5" t="s">
        <v>79</v>
      </c>
      <c r="B6" s="21">
        <v>1000000</v>
      </c>
    </row>
    <row r="7" spans="1:2" x14ac:dyDescent="0.25">
      <c r="A7" s="5" t="s">
        <v>80</v>
      </c>
      <c r="B7" s="21">
        <v>250000</v>
      </c>
    </row>
    <row r="8" spans="1:2" x14ac:dyDescent="0.25">
      <c r="A8" s="5" t="s">
        <v>81</v>
      </c>
      <c r="B8" s="21">
        <v>135000</v>
      </c>
    </row>
    <row r="9" spans="1:2" x14ac:dyDescent="0.25">
      <c r="A9" s="5" t="s">
        <v>82</v>
      </c>
      <c r="B9" s="22">
        <v>0.05</v>
      </c>
    </row>
    <row r="10" spans="1:2" x14ac:dyDescent="0.25">
      <c r="A10" s="5" t="s">
        <v>83</v>
      </c>
      <c r="B10" s="23">
        <v>2</v>
      </c>
    </row>
    <row r="11" spans="1:2" x14ac:dyDescent="0.25">
      <c r="A11" s="5" t="s">
        <v>84</v>
      </c>
      <c r="B11" s="20">
        <f ca="1">TODAY()</f>
        <v>46319</v>
      </c>
    </row>
    <row r="12" spans="1:2" x14ac:dyDescent="0.25">
      <c r="A12" s="7" t="s">
        <v>85</v>
      </c>
    </row>
    <row r="13" spans="1:2" x14ac:dyDescent="0.25">
      <c r="A13" s="5" t="s">
        <v>86</v>
      </c>
      <c r="B13" s="22">
        <v>0.05</v>
      </c>
    </row>
    <row r="14" spans="1:2" x14ac:dyDescent="0.25">
      <c r="A14" s="5" t="s">
        <v>87</v>
      </c>
      <c r="B14" s="22">
        <v>0.4</v>
      </c>
    </row>
    <row r="15" spans="1:2" x14ac:dyDescent="0.25">
      <c r="A15" s="5" t="s">
        <v>88</v>
      </c>
      <c r="B15" s="23">
        <v>12</v>
      </c>
    </row>
    <row r="16" spans="1:2" x14ac:dyDescent="0.25">
      <c r="A16" s="5" t="s">
        <v>89</v>
      </c>
      <c r="B16" s="24">
        <v>60</v>
      </c>
    </row>
    <row r="17" spans="1:9" x14ac:dyDescent="0.25">
      <c r="A17" s="5" t="s">
        <v>90</v>
      </c>
      <c r="B17" s="24">
        <v>90</v>
      </c>
    </row>
    <row r="18" spans="1:9" x14ac:dyDescent="0.25">
      <c r="A18" s="5" t="s">
        <v>91</v>
      </c>
      <c r="B18" s="24">
        <v>120</v>
      </c>
    </row>
    <row r="20" spans="1:9" x14ac:dyDescent="0.25">
      <c r="A20" s="7" t="s">
        <v>92</v>
      </c>
    </row>
    <row r="21" spans="1:9" x14ac:dyDescent="0.25">
      <c r="A21" s="5" t="s">
        <v>93</v>
      </c>
      <c r="B21" s="21">
        <v>25000</v>
      </c>
    </row>
    <row r="22" spans="1:9" x14ac:dyDescent="0.25">
      <c r="A22" s="5" t="s">
        <v>94</v>
      </c>
      <c r="B22" s="21">
        <v>60000</v>
      </c>
    </row>
    <row r="23" spans="1:9" x14ac:dyDescent="0.25">
      <c r="A23" s="5" t="s">
        <v>95</v>
      </c>
      <c r="B23" s="21">
        <v>5000</v>
      </c>
    </row>
    <row r="24" spans="1:9" x14ac:dyDescent="0.25">
      <c r="A24" s="5" t="s">
        <v>96</v>
      </c>
      <c r="B24" s="21">
        <v>0</v>
      </c>
    </row>
    <row r="25" spans="1:9" x14ac:dyDescent="0.25">
      <c r="A25" s="5" t="s">
        <v>97</v>
      </c>
      <c r="B25" s="21">
        <v>8000</v>
      </c>
    </row>
    <row r="26" spans="1:9" x14ac:dyDescent="0.25">
      <c r="A26" s="5" t="s">
        <v>98</v>
      </c>
      <c r="B26" s="21">
        <v>5000</v>
      </c>
    </row>
    <row r="27" spans="1:9" x14ac:dyDescent="0.25">
      <c r="A27" s="7" t="s">
        <v>99</v>
      </c>
      <c r="B27" s="16">
        <f>SUM(B21:B26)</f>
        <v>103000</v>
      </c>
    </row>
    <row r="29" spans="1:9" x14ac:dyDescent="0.25">
      <c r="A29" s="7" t="s">
        <v>100</v>
      </c>
    </row>
    <row r="30" spans="1:9" ht="25.5" x14ac:dyDescent="0.25">
      <c r="A30" s="8" t="s">
        <v>28</v>
      </c>
      <c r="B30" s="8" t="s">
        <v>101</v>
      </c>
      <c r="C30" s="8" t="s">
        <v>102</v>
      </c>
      <c r="D30" s="8" t="s">
        <v>103</v>
      </c>
      <c r="E30" s="8" t="s">
        <v>104</v>
      </c>
      <c r="F30" s="8" t="s">
        <v>105</v>
      </c>
      <c r="G30" s="8" t="s">
        <v>106</v>
      </c>
      <c r="H30" s="8" t="s">
        <v>107</v>
      </c>
      <c r="I30" s="8" t="s">
        <v>108</v>
      </c>
    </row>
    <row r="31" spans="1:9" x14ac:dyDescent="0.25">
      <c r="A31" s="19" t="s">
        <v>109</v>
      </c>
      <c r="B31" s="22">
        <v>0.3</v>
      </c>
      <c r="C31" s="22">
        <v>0.6</v>
      </c>
      <c r="D31" s="23">
        <v>1.5</v>
      </c>
      <c r="E31" s="21">
        <v>0</v>
      </c>
      <c r="F31" s="22">
        <v>0.7</v>
      </c>
      <c r="G31" s="22">
        <v>0.2</v>
      </c>
      <c r="H31" s="22">
        <v>0.1</v>
      </c>
      <c r="I31" s="5" t="str">
        <f>IF(ABS(SUM(F31:H31)-1)&lt;0.0001,"OK","Must total 100%")</f>
        <v>OK</v>
      </c>
    </row>
    <row r="32" spans="1:9" x14ac:dyDescent="0.25">
      <c r="A32" s="19" t="s">
        <v>110</v>
      </c>
      <c r="B32" s="22">
        <v>0.35</v>
      </c>
      <c r="C32" s="22">
        <v>0.6</v>
      </c>
      <c r="D32" s="23">
        <v>2</v>
      </c>
      <c r="E32" s="21">
        <v>0</v>
      </c>
      <c r="F32" s="22">
        <v>0.1</v>
      </c>
      <c r="G32" s="22">
        <v>0.6</v>
      </c>
      <c r="H32" s="22">
        <v>0.3</v>
      </c>
      <c r="I32" s="5" t="str">
        <f>IF(ABS(SUM(F32:H32)-1)&lt;0.0001,"OK","Must total 100%")</f>
        <v>OK</v>
      </c>
    </row>
    <row r="33" spans="1:9" x14ac:dyDescent="0.25">
      <c r="A33" s="19" t="s">
        <v>111</v>
      </c>
      <c r="B33" s="22">
        <v>0.25</v>
      </c>
      <c r="C33" s="22">
        <v>0.6</v>
      </c>
      <c r="D33" s="23">
        <v>1.5</v>
      </c>
      <c r="E33" s="21">
        <v>0</v>
      </c>
      <c r="F33" s="22">
        <v>0.85</v>
      </c>
      <c r="G33" s="22">
        <v>0.15</v>
      </c>
      <c r="H33" s="22">
        <v>0</v>
      </c>
      <c r="I33" s="5" t="str">
        <f>IF(ABS(SUM(F33:H33)-1)&lt;0.0001,"OK","Must total 100%")</f>
        <v>OK</v>
      </c>
    </row>
    <row r="34" spans="1:9" x14ac:dyDescent="0.25">
      <c r="A34" s="19" t="s">
        <v>112</v>
      </c>
      <c r="B34" s="22">
        <v>0.1</v>
      </c>
      <c r="C34" s="22">
        <v>0.6</v>
      </c>
      <c r="D34" s="23">
        <v>3</v>
      </c>
      <c r="E34" s="21">
        <v>0</v>
      </c>
      <c r="F34" s="22">
        <v>0.3</v>
      </c>
      <c r="G34" s="22">
        <v>0.5</v>
      </c>
      <c r="H34" s="22">
        <v>0.2</v>
      </c>
      <c r="I34" s="5" t="str">
        <f>IF(ABS(SUM(F34:H34)-1)&lt;0.0001,"OK","Must total 100%")</f>
        <v>OK</v>
      </c>
    </row>
    <row r="35" spans="1:9" x14ac:dyDescent="0.25">
      <c r="A35" s="7" t="s">
        <v>40</v>
      </c>
      <c r="B35" s="15">
        <f>SUM(B31:B34)</f>
        <v>0.99999999999999989</v>
      </c>
      <c r="C35" s="5" t="str">
        <f>IF(ABS(B35-1)&lt;0.0001,"OK","Mix must total 100%")</f>
        <v>OK</v>
      </c>
    </row>
    <row r="37" spans="1:9" x14ac:dyDescent="0.25">
      <c r="A37" s="7" t="s">
        <v>113</v>
      </c>
    </row>
    <row r="38" spans="1:9" ht="25.5" x14ac:dyDescent="0.25">
      <c r="A38" s="8" t="s">
        <v>114</v>
      </c>
      <c r="B38" s="8" t="s">
        <v>115</v>
      </c>
      <c r="C38" s="8" t="s">
        <v>116</v>
      </c>
    </row>
    <row r="39" spans="1:9" x14ac:dyDescent="0.25">
      <c r="A39" s="5" t="s">
        <v>117</v>
      </c>
      <c r="B39" s="25">
        <v>1.1000000000000001</v>
      </c>
      <c r="C39" s="2" t="s">
        <v>118</v>
      </c>
    </row>
    <row r="40" spans="1:9" x14ac:dyDescent="0.25">
      <c r="A40" s="5" t="s">
        <v>119</v>
      </c>
      <c r="B40" s="25">
        <v>1.1000000000000001</v>
      </c>
      <c r="C40" s="2" t="s">
        <v>120</v>
      </c>
    </row>
    <row r="41" spans="1:9" x14ac:dyDescent="0.25">
      <c r="A41" s="5" t="s">
        <v>121</v>
      </c>
      <c r="B41" s="25">
        <v>0.9</v>
      </c>
      <c r="C41" s="2" t="s">
        <v>122</v>
      </c>
    </row>
    <row r="42" spans="1:9" x14ac:dyDescent="0.25">
      <c r="A42" s="5" t="s">
        <v>123</v>
      </c>
      <c r="B42" s="25">
        <v>1.2</v>
      </c>
      <c r="C42" s="2" t="s">
        <v>124</v>
      </c>
    </row>
    <row r="43" spans="1:9" x14ac:dyDescent="0.25">
      <c r="A43" s="5" t="s">
        <v>125</v>
      </c>
      <c r="B43" s="25">
        <v>0.9</v>
      </c>
      <c r="C43" s="2" t="s">
        <v>126</v>
      </c>
    </row>
    <row r="44" spans="1:9" x14ac:dyDescent="0.25">
      <c r="A44" s="5" t="s">
        <v>127</v>
      </c>
      <c r="B44" s="25">
        <v>0.7</v>
      </c>
      <c r="C44" s="2" t="s">
        <v>128</v>
      </c>
    </row>
    <row r="45" spans="1:9" x14ac:dyDescent="0.25">
      <c r="A45" s="5" t="s">
        <v>129</v>
      </c>
      <c r="B45" s="25">
        <v>0.7</v>
      </c>
      <c r="C45" s="2" t="s">
        <v>128</v>
      </c>
    </row>
    <row r="46" spans="1:9" x14ac:dyDescent="0.25">
      <c r="A46" s="5" t="s">
        <v>130</v>
      </c>
      <c r="B46" s="25">
        <v>0.8</v>
      </c>
      <c r="C46" s="2" t="s">
        <v>131</v>
      </c>
    </row>
    <row r="47" spans="1:9" x14ac:dyDescent="0.25">
      <c r="A47" s="5" t="s">
        <v>132</v>
      </c>
      <c r="B47" s="25">
        <v>1.4</v>
      </c>
      <c r="C47" s="2" t="s">
        <v>133</v>
      </c>
    </row>
    <row r="48" spans="1:9" x14ac:dyDescent="0.25">
      <c r="A48" s="5" t="s">
        <v>134</v>
      </c>
      <c r="B48" s="25">
        <v>1.6</v>
      </c>
      <c r="C48" s="2" t="s">
        <v>135</v>
      </c>
    </row>
    <row r="49" spans="1:3" x14ac:dyDescent="0.25">
      <c r="A49" s="5" t="s">
        <v>136</v>
      </c>
      <c r="B49" s="25">
        <v>1.2</v>
      </c>
      <c r="C49" s="2" t="s">
        <v>137</v>
      </c>
    </row>
    <row r="50" spans="1:3" x14ac:dyDescent="0.25">
      <c r="A50" s="5" t="s">
        <v>138</v>
      </c>
      <c r="B50" s="25">
        <v>1.2</v>
      </c>
      <c r="C50" s="2" t="s">
        <v>118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C9" sqref="C9"/>
    </sheetView>
  </sheetViews>
  <sheetFormatPr defaultRowHeight="15" x14ac:dyDescent="0.25"/>
  <cols>
    <col min="1" max="1" width="36" customWidth="1"/>
    <col min="2" max="2" width="2" customWidth="1"/>
    <col min="3" max="14" width="12" customWidth="1"/>
  </cols>
  <sheetData>
    <row r="1" spans="1:14" ht="18" x14ac:dyDescent="0.25">
      <c r="A1" s="1" t="s">
        <v>139</v>
      </c>
    </row>
    <row r="2" spans="1:14" x14ac:dyDescent="0.25">
      <c r="A2" s="2" t="s">
        <v>140</v>
      </c>
    </row>
    <row r="4" spans="1:14" x14ac:dyDescent="0.25">
      <c r="A4" s="7" t="s">
        <v>114</v>
      </c>
      <c r="C4" s="6">
        <f>EDATE(Inputs!$B$5,0)</f>
        <v>46327</v>
      </c>
      <c r="D4" s="6">
        <f>EDATE(Inputs!$B$5,1)</f>
        <v>46357</v>
      </c>
      <c r="E4" s="6">
        <f>EDATE(Inputs!$B$5,2)</f>
        <v>46388</v>
      </c>
      <c r="F4" s="6">
        <f>EDATE(Inputs!$B$5,3)</f>
        <v>46419</v>
      </c>
      <c r="G4" s="6">
        <f>EDATE(Inputs!$B$5,4)</f>
        <v>46447</v>
      </c>
      <c r="H4" s="6">
        <f>EDATE(Inputs!$B$5,5)</f>
        <v>46478</v>
      </c>
      <c r="I4" s="6">
        <f>EDATE(Inputs!$B$5,6)</f>
        <v>46508</v>
      </c>
      <c r="J4" s="6">
        <f>EDATE(Inputs!$B$5,7)</f>
        <v>46539</v>
      </c>
      <c r="K4" s="6">
        <f>EDATE(Inputs!$B$5,8)</f>
        <v>46569</v>
      </c>
      <c r="L4" s="6">
        <f>EDATE(Inputs!$B$5,9)</f>
        <v>46600</v>
      </c>
      <c r="M4" s="6">
        <f>EDATE(Inputs!$B$5,10)</f>
        <v>46631</v>
      </c>
      <c r="N4" s="6">
        <f>EDATE(Inputs!$B$5,11)</f>
        <v>46661</v>
      </c>
    </row>
    <row r="5" spans="1:14" x14ac:dyDescent="0.25">
      <c r="A5" s="5" t="s">
        <v>141</v>
      </c>
      <c r="C5" s="26">
        <f>INDEX(Inputs!$B$39:$B$50,MONTH(C4))</f>
        <v>1.2</v>
      </c>
      <c r="D5" s="26">
        <f>INDEX(Inputs!$B$39:$B$50,MONTH(D4))</f>
        <v>1.2</v>
      </c>
      <c r="E5" s="26">
        <f>INDEX(Inputs!$B$39:$B$50,MONTH(E4))</f>
        <v>1.1000000000000001</v>
      </c>
      <c r="F5" s="26">
        <f>INDEX(Inputs!$B$39:$B$50,MONTH(F4))</f>
        <v>1.1000000000000001</v>
      </c>
      <c r="G5" s="26">
        <f>INDEX(Inputs!$B$39:$B$50,MONTH(G4))</f>
        <v>0.9</v>
      </c>
      <c r="H5" s="26">
        <f>INDEX(Inputs!$B$39:$B$50,MONTH(H4))</f>
        <v>1.2</v>
      </c>
      <c r="I5" s="26">
        <f>INDEX(Inputs!$B$39:$B$50,MONTH(I4))</f>
        <v>0.9</v>
      </c>
      <c r="J5" s="26">
        <f>INDEX(Inputs!$B$39:$B$50,MONTH(J4))</f>
        <v>0.7</v>
      </c>
      <c r="K5" s="26">
        <f>INDEX(Inputs!$B$39:$B$50,MONTH(K4))</f>
        <v>0.7</v>
      </c>
      <c r="L5" s="26">
        <f>INDEX(Inputs!$B$39:$B$50,MONTH(L4))</f>
        <v>0.8</v>
      </c>
      <c r="M5" s="26">
        <f>INDEX(Inputs!$B$39:$B$50,MONTH(M4))</f>
        <v>1.4</v>
      </c>
      <c r="N5" s="26">
        <f>INDEX(Inputs!$B$39:$B$50,MONTH(N4))</f>
        <v>1.6</v>
      </c>
    </row>
    <row r="6" spans="1:14" x14ac:dyDescent="0.25">
      <c r="A6" s="5" t="s">
        <v>142</v>
      </c>
      <c r="C6" s="26">
        <f>INDEX(Inputs!$B$39:$B$50,MONTH(EDATE(C4,1)))</f>
        <v>1.2</v>
      </c>
      <c r="D6" s="26">
        <f>INDEX(Inputs!$B$39:$B$50,MONTH(EDATE(D4,1)))</f>
        <v>1.1000000000000001</v>
      </c>
      <c r="E6" s="26">
        <f>INDEX(Inputs!$B$39:$B$50,MONTH(EDATE(E4,1)))</f>
        <v>1.1000000000000001</v>
      </c>
      <c r="F6" s="26">
        <f>INDEX(Inputs!$B$39:$B$50,MONTH(EDATE(F4,1)))</f>
        <v>0.9</v>
      </c>
      <c r="G6" s="26">
        <f>INDEX(Inputs!$B$39:$B$50,MONTH(EDATE(G4,1)))</f>
        <v>1.2</v>
      </c>
      <c r="H6" s="26">
        <f>INDEX(Inputs!$B$39:$B$50,MONTH(EDATE(H4,1)))</f>
        <v>0.9</v>
      </c>
      <c r="I6" s="26">
        <f>INDEX(Inputs!$B$39:$B$50,MONTH(EDATE(I4,1)))</f>
        <v>0.7</v>
      </c>
      <c r="J6" s="26">
        <f>INDEX(Inputs!$B$39:$B$50,MONTH(EDATE(J4,1)))</f>
        <v>0.7</v>
      </c>
      <c r="K6" s="26">
        <f>INDEX(Inputs!$B$39:$B$50,MONTH(EDATE(K4,1)))</f>
        <v>0.8</v>
      </c>
      <c r="L6" s="26">
        <f>INDEX(Inputs!$B$39:$B$50,MONTH(EDATE(L4,1)))</f>
        <v>1.4</v>
      </c>
      <c r="M6" s="26">
        <f>INDEX(Inputs!$B$39:$B$50,MONTH(EDATE(M4,1)))</f>
        <v>1.6</v>
      </c>
      <c r="N6" s="26">
        <f>INDEX(Inputs!$B$39:$B$50,MONTH(EDATE(N4,1)))</f>
        <v>1.2</v>
      </c>
    </row>
    <row r="8" spans="1:14" x14ac:dyDescent="0.25">
      <c r="A8" s="27" t="str">
        <f>Inputs!$A$31</f>
        <v>Daily Wear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4" x14ac:dyDescent="0.25">
      <c r="A9" s="5" t="s">
        <v>143</v>
      </c>
      <c r="C9" s="12">
        <f>Inputs!$B$8*Inputs!$B$31*C$5</f>
        <v>48600</v>
      </c>
      <c r="D9" s="12">
        <f>Inputs!$B$8*Inputs!$B$31*D$5</f>
        <v>48600</v>
      </c>
      <c r="E9" s="12">
        <f>Inputs!$B$8*Inputs!$B$31*E$5</f>
        <v>44550</v>
      </c>
      <c r="F9" s="12">
        <f>Inputs!$B$8*Inputs!$B$31*F$5</f>
        <v>44550</v>
      </c>
      <c r="G9" s="12">
        <f>Inputs!$B$8*Inputs!$B$31*G$5</f>
        <v>36450</v>
      </c>
      <c r="H9" s="12">
        <f>Inputs!$B$8*Inputs!$B$31*H$5</f>
        <v>48600</v>
      </c>
      <c r="I9" s="12">
        <f>Inputs!$B$8*Inputs!$B$31*I$5</f>
        <v>36450</v>
      </c>
      <c r="J9" s="12">
        <f>Inputs!$B$8*Inputs!$B$31*J$5</f>
        <v>28350</v>
      </c>
      <c r="K9" s="12">
        <f>Inputs!$B$8*Inputs!$B$31*K$5</f>
        <v>28350</v>
      </c>
      <c r="L9" s="12">
        <f>Inputs!$B$8*Inputs!$B$31*L$5</f>
        <v>32400</v>
      </c>
      <c r="M9" s="12">
        <f>Inputs!$B$8*Inputs!$B$31*M$5</f>
        <v>56700</v>
      </c>
      <c r="N9" s="12">
        <f>Inputs!$B$8*Inputs!$B$31*N$5</f>
        <v>64800</v>
      </c>
    </row>
    <row r="10" spans="1:14" x14ac:dyDescent="0.25">
      <c r="A10" s="5" t="s">
        <v>144</v>
      </c>
      <c r="C10" s="12">
        <f>C9*(1-Inputs!$C$31)</f>
        <v>19440</v>
      </c>
      <c r="D10" s="12">
        <f>D9*(1-Inputs!$C$31)</f>
        <v>19440</v>
      </c>
      <c r="E10" s="12">
        <f>E9*(1-Inputs!$C$31)</f>
        <v>17820</v>
      </c>
      <c r="F10" s="12">
        <f>F9*(1-Inputs!$C$31)</f>
        <v>17820</v>
      </c>
      <c r="G10" s="12">
        <f>G9*(1-Inputs!$C$31)</f>
        <v>14580</v>
      </c>
      <c r="H10" s="12">
        <f>H9*(1-Inputs!$C$31)</f>
        <v>19440</v>
      </c>
      <c r="I10" s="12">
        <f>I9*(1-Inputs!$C$31)</f>
        <v>14580</v>
      </c>
      <c r="J10" s="12">
        <f>J9*(1-Inputs!$C$31)</f>
        <v>11340</v>
      </c>
      <c r="K10" s="12">
        <f>K9*(1-Inputs!$C$31)</f>
        <v>11340</v>
      </c>
      <c r="L10" s="12">
        <f>L9*(1-Inputs!$C$31)</f>
        <v>12960</v>
      </c>
      <c r="M10" s="12">
        <f>M9*(1-Inputs!$C$31)</f>
        <v>22680</v>
      </c>
      <c r="N10" s="12">
        <f>N9*(1-Inputs!$C$31)</f>
        <v>25920</v>
      </c>
    </row>
    <row r="11" spans="1:14" x14ac:dyDescent="0.25">
      <c r="A11" s="5" t="s">
        <v>145</v>
      </c>
      <c r="C11" s="12">
        <f>Inputs!$B$8*Inputs!$B$31*(1-Inputs!$C$31)*C$6*Inputs!$D$31</f>
        <v>29160</v>
      </c>
      <c r="D11" s="12">
        <f>Inputs!$B$8*Inputs!$B$31*(1-Inputs!$C$31)*D$6*Inputs!$D$31</f>
        <v>26730</v>
      </c>
      <c r="E11" s="12">
        <f>Inputs!$B$8*Inputs!$B$31*(1-Inputs!$C$31)*E$6*Inputs!$D$31</f>
        <v>26730</v>
      </c>
      <c r="F11" s="12">
        <f>Inputs!$B$8*Inputs!$B$31*(1-Inputs!$C$31)*F$6*Inputs!$D$31</f>
        <v>21870</v>
      </c>
      <c r="G11" s="12">
        <f>Inputs!$B$8*Inputs!$B$31*(1-Inputs!$C$31)*G$6*Inputs!$D$31</f>
        <v>29160</v>
      </c>
      <c r="H11" s="12">
        <f>Inputs!$B$8*Inputs!$B$31*(1-Inputs!$C$31)*H$6*Inputs!$D$31</f>
        <v>21870</v>
      </c>
      <c r="I11" s="12">
        <f>Inputs!$B$8*Inputs!$B$31*(1-Inputs!$C$31)*I$6*Inputs!$D$31</f>
        <v>17010</v>
      </c>
      <c r="J11" s="12">
        <f>Inputs!$B$8*Inputs!$B$31*(1-Inputs!$C$31)*J$6*Inputs!$D$31</f>
        <v>17010</v>
      </c>
      <c r="K11" s="12">
        <f>Inputs!$B$8*Inputs!$B$31*(1-Inputs!$C$31)*K$6*Inputs!$D$31</f>
        <v>19440</v>
      </c>
      <c r="L11" s="12">
        <f>Inputs!$B$8*Inputs!$B$31*(1-Inputs!$C$31)*L$6*Inputs!$D$31</f>
        <v>34020</v>
      </c>
      <c r="M11" s="12">
        <f>Inputs!$B$8*Inputs!$B$31*(1-Inputs!$C$31)*M$6*Inputs!$D$31</f>
        <v>38880</v>
      </c>
      <c r="N11" s="12">
        <f>Inputs!$B$8*Inputs!$B$31*(1-Inputs!$C$31)*N$6*Inputs!$D$31</f>
        <v>29160</v>
      </c>
    </row>
    <row r="12" spans="1:14" x14ac:dyDescent="0.25">
      <c r="A12" s="5" t="s">
        <v>146</v>
      </c>
      <c r="C12" s="12">
        <f>Inputs!$E$31</f>
        <v>0</v>
      </c>
      <c r="D12" s="12">
        <f t="shared" ref="D12:N12" si="0">C11</f>
        <v>29160</v>
      </c>
      <c r="E12" s="12">
        <f t="shared" si="0"/>
        <v>26730</v>
      </c>
      <c r="F12" s="12">
        <f t="shared" si="0"/>
        <v>26730</v>
      </c>
      <c r="G12" s="12">
        <f t="shared" si="0"/>
        <v>21870</v>
      </c>
      <c r="H12" s="12">
        <f t="shared" si="0"/>
        <v>29160</v>
      </c>
      <c r="I12" s="12">
        <f t="shared" si="0"/>
        <v>21870</v>
      </c>
      <c r="J12" s="12">
        <f t="shared" si="0"/>
        <v>17010</v>
      </c>
      <c r="K12" s="12">
        <f t="shared" si="0"/>
        <v>17010</v>
      </c>
      <c r="L12" s="12">
        <f t="shared" si="0"/>
        <v>19440</v>
      </c>
      <c r="M12" s="12">
        <f t="shared" si="0"/>
        <v>34020</v>
      </c>
      <c r="N12" s="12">
        <f t="shared" si="0"/>
        <v>38880</v>
      </c>
    </row>
    <row r="13" spans="1:14" x14ac:dyDescent="0.25">
      <c r="A13" s="5" t="s">
        <v>147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</row>
    <row r="14" spans="1:14" x14ac:dyDescent="0.25">
      <c r="A14" s="5" t="s">
        <v>148</v>
      </c>
      <c r="C14" s="12">
        <f t="shared" ref="C14:N14" si="1">MAX(0,C10+C11-C12-C13)</f>
        <v>48600</v>
      </c>
      <c r="D14" s="12">
        <f t="shared" si="1"/>
        <v>17010</v>
      </c>
      <c r="E14" s="12">
        <f t="shared" si="1"/>
        <v>17820</v>
      </c>
      <c r="F14" s="12">
        <f t="shared" si="1"/>
        <v>12960</v>
      </c>
      <c r="G14" s="12">
        <f t="shared" si="1"/>
        <v>21870</v>
      </c>
      <c r="H14" s="12">
        <f t="shared" si="1"/>
        <v>12150</v>
      </c>
      <c r="I14" s="12">
        <f t="shared" si="1"/>
        <v>9720</v>
      </c>
      <c r="J14" s="12">
        <f t="shared" si="1"/>
        <v>11340</v>
      </c>
      <c r="K14" s="12">
        <f t="shared" si="1"/>
        <v>13770</v>
      </c>
      <c r="L14" s="12">
        <f t="shared" si="1"/>
        <v>27540</v>
      </c>
      <c r="M14" s="12">
        <f t="shared" si="1"/>
        <v>27540</v>
      </c>
      <c r="N14" s="12">
        <f t="shared" si="1"/>
        <v>16200</v>
      </c>
    </row>
    <row r="15" spans="1:14" x14ac:dyDescent="0.25">
      <c r="A15" s="7" t="s">
        <v>149</v>
      </c>
      <c r="C15" s="29">
        <f t="shared" ref="C15:N15" si="2">C14*C$71</f>
        <v>48600</v>
      </c>
      <c r="D15" s="29">
        <f t="shared" si="2"/>
        <v>17010</v>
      </c>
      <c r="E15" s="29">
        <f t="shared" si="2"/>
        <v>17820</v>
      </c>
      <c r="F15" s="29">
        <f t="shared" si="2"/>
        <v>12960</v>
      </c>
      <c r="G15" s="29">
        <f t="shared" si="2"/>
        <v>21870</v>
      </c>
      <c r="H15" s="29">
        <f t="shared" si="2"/>
        <v>12150</v>
      </c>
      <c r="I15" s="29">
        <f t="shared" si="2"/>
        <v>9720</v>
      </c>
      <c r="J15" s="29">
        <f t="shared" si="2"/>
        <v>11340</v>
      </c>
      <c r="K15" s="29">
        <f t="shared" si="2"/>
        <v>13770</v>
      </c>
      <c r="L15" s="29">
        <f t="shared" si="2"/>
        <v>27540</v>
      </c>
      <c r="M15" s="29">
        <f t="shared" si="2"/>
        <v>27540</v>
      </c>
      <c r="N15" s="29">
        <f t="shared" si="2"/>
        <v>16200</v>
      </c>
    </row>
    <row r="16" spans="1:14" x14ac:dyDescent="0.25">
      <c r="A16" s="5" t="s">
        <v>150</v>
      </c>
      <c r="C16" s="12">
        <f>C15*Inputs!$F$31</f>
        <v>34020</v>
      </c>
      <c r="D16" s="12">
        <f>D15*Inputs!$F$31</f>
        <v>11907</v>
      </c>
      <c r="E16" s="12">
        <f>E15*Inputs!$F$31</f>
        <v>12474</v>
      </c>
      <c r="F16" s="12">
        <f>F15*Inputs!$F$31</f>
        <v>9072</v>
      </c>
      <c r="G16" s="12">
        <f>G15*Inputs!$F$31</f>
        <v>15308.999999999998</v>
      </c>
      <c r="H16" s="12">
        <f>H15*Inputs!$F$31</f>
        <v>8505</v>
      </c>
      <c r="I16" s="12">
        <f>I15*Inputs!$F$31</f>
        <v>6804</v>
      </c>
      <c r="J16" s="12">
        <f>J15*Inputs!$F$31</f>
        <v>7937.9999999999991</v>
      </c>
      <c r="K16" s="12">
        <f>K15*Inputs!$F$31</f>
        <v>9639</v>
      </c>
      <c r="L16" s="12">
        <f>L15*Inputs!$F$31</f>
        <v>19278</v>
      </c>
      <c r="M16" s="12">
        <f>M15*Inputs!$F$31</f>
        <v>19278</v>
      </c>
      <c r="N16" s="12">
        <f>N15*Inputs!$F$31</f>
        <v>11340</v>
      </c>
    </row>
    <row r="17" spans="1:14" x14ac:dyDescent="0.25">
      <c r="A17" s="5" t="s">
        <v>151</v>
      </c>
      <c r="C17" s="12">
        <f>C15*Inputs!$G$31</f>
        <v>9720</v>
      </c>
      <c r="D17" s="12">
        <f>D15*Inputs!$G$31</f>
        <v>3402</v>
      </c>
      <c r="E17" s="12">
        <f>E15*Inputs!$G$31</f>
        <v>3564</v>
      </c>
      <c r="F17" s="12">
        <f>F15*Inputs!$G$31</f>
        <v>2592</v>
      </c>
      <c r="G17" s="12">
        <f>G15*Inputs!$G$31</f>
        <v>4374</v>
      </c>
      <c r="H17" s="12">
        <f>H15*Inputs!$G$31</f>
        <v>2430</v>
      </c>
      <c r="I17" s="12">
        <f>I15*Inputs!$G$31</f>
        <v>1944</v>
      </c>
      <c r="J17" s="12">
        <f>J15*Inputs!$G$31</f>
        <v>2268</v>
      </c>
      <c r="K17" s="12">
        <f>K15*Inputs!$G$31</f>
        <v>2754</v>
      </c>
      <c r="L17" s="12">
        <f>L15*Inputs!$G$31</f>
        <v>5508</v>
      </c>
      <c r="M17" s="12">
        <f>M15*Inputs!$G$31</f>
        <v>5508</v>
      </c>
      <c r="N17" s="12">
        <f>N15*Inputs!$G$31</f>
        <v>3240</v>
      </c>
    </row>
    <row r="18" spans="1:14" x14ac:dyDescent="0.25">
      <c r="A18" s="5" t="s">
        <v>152</v>
      </c>
      <c r="C18" s="12">
        <f>C15*Inputs!$H$31</f>
        <v>4860</v>
      </c>
      <c r="D18" s="12">
        <f>D15*Inputs!$H$31</f>
        <v>1701</v>
      </c>
      <c r="E18" s="12">
        <f>E15*Inputs!$H$31</f>
        <v>1782</v>
      </c>
      <c r="F18" s="12">
        <f>F15*Inputs!$H$31</f>
        <v>1296</v>
      </c>
      <c r="G18" s="12">
        <f>G15*Inputs!$H$31</f>
        <v>2187</v>
      </c>
      <c r="H18" s="12">
        <f>H15*Inputs!$H$31</f>
        <v>1215</v>
      </c>
      <c r="I18" s="12">
        <f>I15*Inputs!$H$31</f>
        <v>972</v>
      </c>
      <c r="J18" s="12">
        <f>J15*Inputs!$H$31</f>
        <v>1134</v>
      </c>
      <c r="K18" s="12">
        <f>K15*Inputs!$H$31</f>
        <v>1377</v>
      </c>
      <c r="L18" s="12">
        <f>L15*Inputs!$H$31</f>
        <v>2754</v>
      </c>
      <c r="M18" s="12">
        <f>M15*Inputs!$H$31</f>
        <v>2754</v>
      </c>
      <c r="N18" s="12">
        <f>N15*Inputs!$H$31</f>
        <v>1620</v>
      </c>
    </row>
    <row r="19" spans="1:14" x14ac:dyDescent="0.25">
      <c r="A19" s="5" t="s">
        <v>153</v>
      </c>
      <c r="C19" s="12">
        <f>SUMIFS('Stock Aging'!$N$6:$N$1005,'Stock Aging'!$C$6:$C$1005,$A$8,'Stock Aging'!$O$6:$O$1005,C$4)</f>
        <v>0</v>
      </c>
      <c r="D19" s="12">
        <f>SUMIFS('Stock Aging'!$N$6:$N$1005,'Stock Aging'!$C$6:$C$1005,$A$8,'Stock Aging'!$O$6:$O$1005,D$4)</f>
        <v>0</v>
      </c>
      <c r="E19" s="12">
        <f>SUMIFS('Stock Aging'!$N$6:$N$1005,'Stock Aging'!$C$6:$C$1005,$A$8,'Stock Aging'!$O$6:$O$1005,E$4)</f>
        <v>0</v>
      </c>
      <c r="F19" s="12">
        <f>SUMIFS('Stock Aging'!$N$6:$N$1005,'Stock Aging'!$C$6:$C$1005,$A$8,'Stock Aging'!$O$6:$O$1005,F$4)</f>
        <v>0</v>
      </c>
      <c r="G19" s="12">
        <f>SUMIFS('Stock Aging'!$N$6:$N$1005,'Stock Aging'!$C$6:$C$1005,$A$8,'Stock Aging'!$O$6:$O$1005,G$4)</f>
        <v>0</v>
      </c>
      <c r="H19" s="12">
        <f>SUMIFS('Stock Aging'!$N$6:$N$1005,'Stock Aging'!$C$6:$C$1005,$A$8,'Stock Aging'!$O$6:$O$1005,H$4)</f>
        <v>0</v>
      </c>
      <c r="I19" s="12">
        <f>SUMIFS('Stock Aging'!$N$6:$N$1005,'Stock Aging'!$C$6:$C$1005,$A$8,'Stock Aging'!$O$6:$O$1005,I$4)</f>
        <v>0</v>
      </c>
      <c r="J19" s="12">
        <f>SUMIFS('Stock Aging'!$N$6:$N$1005,'Stock Aging'!$C$6:$C$1005,$A$8,'Stock Aging'!$O$6:$O$1005,J$4)</f>
        <v>0</v>
      </c>
      <c r="K19" s="12">
        <f>SUMIFS('Stock Aging'!$N$6:$N$1005,'Stock Aging'!$C$6:$C$1005,$A$8,'Stock Aging'!$O$6:$O$1005,K$4)</f>
        <v>0</v>
      </c>
      <c r="L19" s="12">
        <f>SUMIFS('Stock Aging'!$N$6:$N$1005,'Stock Aging'!$C$6:$C$1005,$A$8,'Stock Aging'!$O$6:$O$1005,L$4)</f>
        <v>0</v>
      </c>
      <c r="M19" s="12">
        <f>SUMIFS('Stock Aging'!$N$6:$N$1005,'Stock Aging'!$C$6:$C$1005,$A$8,'Stock Aging'!$O$6:$O$1005,M$4)</f>
        <v>0</v>
      </c>
      <c r="N19" s="12">
        <f>SUMIFS('Stock Aging'!$N$6:$N$1005,'Stock Aging'!$C$6:$C$1005,$A$8,'Stock Aging'!$O$6:$O$1005,N$4)</f>
        <v>0</v>
      </c>
    </row>
    <row r="20" spans="1:14" x14ac:dyDescent="0.25">
      <c r="A20" s="7" t="s">
        <v>154</v>
      </c>
      <c r="C20" s="16">
        <f t="shared" ref="C20:N20" si="3">C15-C19</f>
        <v>48600</v>
      </c>
      <c r="D20" s="16">
        <f t="shared" si="3"/>
        <v>17010</v>
      </c>
      <c r="E20" s="16">
        <f t="shared" si="3"/>
        <v>17820</v>
      </c>
      <c r="F20" s="16">
        <f t="shared" si="3"/>
        <v>12960</v>
      </c>
      <c r="G20" s="16">
        <f t="shared" si="3"/>
        <v>21870</v>
      </c>
      <c r="H20" s="16">
        <f t="shared" si="3"/>
        <v>12150</v>
      </c>
      <c r="I20" s="16">
        <f t="shared" si="3"/>
        <v>9720</v>
      </c>
      <c r="J20" s="16">
        <f t="shared" si="3"/>
        <v>11340</v>
      </c>
      <c r="K20" s="16">
        <f t="shared" si="3"/>
        <v>13770</v>
      </c>
      <c r="L20" s="16">
        <f t="shared" si="3"/>
        <v>27540</v>
      </c>
      <c r="M20" s="16">
        <f t="shared" si="3"/>
        <v>27540</v>
      </c>
      <c r="N20" s="16">
        <f t="shared" si="3"/>
        <v>16200</v>
      </c>
    </row>
    <row r="22" spans="1:14" x14ac:dyDescent="0.25">
      <c r="A22" s="27" t="str">
        <f>Inputs!$A$32</f>
        <v>Festive Handlooms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25">
      <c r="A23" s="5" t="s">
        <v>143</v>
      </c>
      <c r="C23" s="12">
        <f>Inputs!$B$8*Inputs!$B$32*C$5</f>
        <v>56700</v>
      </c>
      <c r="D23" s="12">
        <f>Inputs!$B$8*Inputs!$B$32*D$5</f>
        <v>56700</v>
      </c>
      <c r="E23" s="12">
        <f>Inputs!$B$8*Inputs!$B$32*E$5</f>
        <v>51975.000000000007</v>
      </c>
      <c r="F23" s="12">
        <f>Inputs!$B$8*Inputs!$B$32*F$5</f>
        <v>51975.000000000007</v>
      </c>
      <c r="G23" s="12">
        <f>Inputs!$B$8*Inputs!$B$32*G$5</f>
        <v>42525</v>
      </c>
      <c r="H23" s="12">
        <f>Inputs!$B$8*Inputs!$B$32*H$5</f>
        <v>56700</v>
      </c>
      <c r="I23" s="12">
        <f>Inputs!$B$8*Inputs!$B$32*I$5</f>
        <v>42525</v>
      </c>
      <c r="J23" s="12">
        <f>Inputs!$B$8*Inputs!$B$32*J$5</f>
        <v>33075</v>
      </c>
      <c r="K23" s="12">
        <f>Inputs!$B$8*Inputs!$B$32*K$5</f>
        <v>33075</v>
      </c>
      <c r="L23" s="12">
        <f>Inputs!$B$8*Inputs!$B$32*L$5</f>
        <v>37800</v>
      </c>
      <c r="M23" s="12">
        <f>Inputs!$B$8*Inputs!$B$32*M$5</f>
        <v>66150</v>
      </c>
      <c r="N23" s="12">
        <f>Inputs!$B$8*Inputs!$B$32*N$5</f>
        <v>75600</v>
      </c>
    </row>
    <row r="24" spans="1:14" x14ac:dyDescent="0.25">
      <c r="A24" s="5" t="s">
        <v>144</v>
      </c>
      <c r="C24" s="12">
        <f>C23*(1-Inputs!$C$32)</f>
        <v>22680</v>
      </c>
      <c r="D24" s="12">
        <f>D23*(1-Inputs!$C$32)</f>
        <v>22680</v>
      </c>
      <c r="E24" s="12">
        <f>E23*(1-Inputs!$C$32)</f>
        <v>20790.000000000004</v>
      </c>
      <c r="F24" s="12">
        <f>F23*(1-Inputs!$C$32)</f>
        <v>20790.000000000004</v>
      </c>
      <c r="G24" s="12">
        <f>G23*(1-Inputs!$C$32)</f>
        <v>17010</v>
      </c>
      <c r="H24" s="12">
        <f>H23*(1-Inputs!$C$32)</f>
        <v>22680</v>
      </c>
      <c r="I24" s="12">
        <f>I23*(1-Inputs!$C$32)</f>
        <v>17010</v>
      </c>
      <c r="J24" s="12">
        <f>J23*(1-Inputs!$C$32)</f>
        <v>13230</v>
      </c>
      <c r="K24" s="12">
        <f>K23*(1-Inputs!$C$32)</f>
        <v>13230</v>
      </c>
      <c r="L24" s="12">
        <f>L23*(1-Inputs!$C$32)</f>
        <v>15120</v>
      </c>
      <c r="M24" s="12">
        <f>M23*(1-Inputs!$C$32)</f>
        <v>26460</v>
      </c>
      <c r="N24" s="12">
        <f>N23*(1-Inputs!$C$32)</f>
        <v>30240</v>
      </c>
    </row>
    <row r="25" spans="1:14" x14ac:dyDescent="0.25">
      <c r="A25" s="5" t="s">
        <v>145</v>
      </c>
      <c r="C25" s="12">
        <f>Inputs!$B$8*Inputs!$B$32*(1-Inputs!$C$32)*C$6*Inputs!$D$32</f>
        <v>45360</v>
      </c>
      <c r="D25" s="12">
        <f>Inputs!$B$8*Inputs!$B$32*(1-Inputs!$C$32)*D$6*Inputs!$D$32</f>
        <v>41580</v>
      </c>
      <c r="E25" s="12">
        <f>Inputs!$B$8*Inputs!$B$32*(1-Inputs!$C$32)*E$6*Inputs!$D$32</f>
        <v>41580</v>
      </c>
      <c r="F25" s="12">
        <f>Inputs!$B$8*Inputs!$B$32*(1-Inputs!$C$32)*F$6*Inputs!$D$32</f>
        <v>34020</v>
      </c>
      <c r="G25" s="12">
        <f>Inputs!$B$8*Inputs!$B$32*(1-Inputs!$C$32)*G$6*Inputs!$D$32</f>
        <v>45360</v>
      </c>
      <c r="H25" s="12">
        <f>Inputs!$B$8*Inputs!$B$32*(1-Inputs!$C$32)*H$6*Inputs!$D$32</f>
        <v>34020</v>
      </c>
      <c r="I25" s="12">
        <f>Inputs!$B$8*Inputs!$B$32*(1-Inputs!$C$32)*I$6*Inputs!$D$32</f>
        <v>26460</v>
      </c>
      <c r="J25" s="12">
        <f>Inputs!$B$8*Inputs!$B$32*(1-Inputs!$C$32)*J$6*Inputs!$D$32</f>
        <v>26460</v>
      </c>
      <c r="K25" s="12">
        <f>Inputs!$B$8*Inputs!$B$32*(1-Inputs!$C$32)*K$6*Inputs!$D$32</f>
        <v>30240</v>
      </c>
      <c r="L25" s="12">
        <f>Inputs!$B$8*Inputs!$B$32*(1-Inputs!$C$32)*L$6*Inputs!$D$32</f>
        <v>52920</v>
      </c>
      <c r="M25" s="12">
        <f>Inputs!$B$8*Inputs!$B$32*(1-Inputs!$C$32)*M$6*Inputs!$D$32</f>
        <v>60480</v>
      </c>
      <c r="N25" s="12">
        <f>Inputs!$B$8*Inputs!$B$32*(1-Inputs!$C$32)*N$6*Inputs!$D$32</f>
        <v>45360</v>
      </c>
    </row>
    <row r="26" spans="1:14" x14ac:dyDescent="0.25">
      <c r="A26" s="5" t="s">
        <v>146</v>
      </c>
      <c r="C26" s="12">
        <f>Inputs!$E$32</f>
        <v>0</v>
      </c>
      <c r="D26" s="12">
        <f t="shared" ref="D26:N26" si="4">C25</f>
        <v>45360</v>
      </c>
      <c r="E26" s="12">
        <f t="shared" si="4"/>
        <v>41580</v>
      </c>
      <c r="F26" s="12">
        <f t="shared" si="4"/>
        <v>41580</v>
      </c>
      <c r="G26" s="12">
        <f t="shared" si="4"/>
        <v>34020</v>
      </c>
      <c r="H26" s="12">
        <f t="shared" si="4"/>
        <v>45360</v>
      </c>
      <c r="I26" s="12">
        <f t="shared" si="4"/>
        <v>34020</v>
      </c>
      <c r="J26" s="12">
        <f t="shared" si="4"/>
        <v>26460</v>
      </c>
      <c r="K26" s="12">
        <f t="shared" si="4"/>
        <v>26460</v>
      </c>
      <c r="L26" s="12">
        <f t="shared" si="4"/>
        <v>30240</v>
      </c>
      <c r="M26" s="12">
        <f t="shared" si="4"/>
        <v>52920</v>
      </c>
      <c r="N26" s="12">
        <f t="shared" si="4"/>
        <v>60480</v>
      </c>
    </row>
    <row r="27" spans="1:14" x14ac:dyDescent="0.25">
      <c r="A27" s="5" t="s">
        <v>147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</row>
    <row r="28" spans="1:14" x14ac:dyDescent="0.25">
      <c r="A28" s="5" t="s">
        <v>148</v>
      </c>
      <c r="C28" s="12">
        <f t="shared" ref="C28:N28" si="5">MAX(0,C24+C25-C26-C27)</f>
        <v>68040</v>
      </c>
      <c r="D28" s="12">
        <f t="shared" si="5"/>
        <v>18900</v>
      </c>
      <c r="E28" s="12">
        <f t="shared" si="5"/>
        <v>20790</v>
      </c>
      <c r="F28" s="12">
        <f t="shared" si="5"/>
        <v>13230</v>
      </c>
      <c r="G28" s="12">
        <f t="shared" si="5"/>
        <v>28350</v>
      </c>
      <c r="H28" s="12">
        <f t="shared" si="5"/>
        <v>11340</v>
      </c>
      <c r="I28" s="12">
        <f t="shared" si="5"/>
        <v>9450</v>
      </c>
      <c r="J28" s="12">
        <f t="shared" si="5"/>
        <v>13230</v>
      </c>
      <c r="K28" s="12">
        <f t="shared" si="5"/>
        <v>17010</v>
      </c>
      <c r="L28" s="12">
        <f t="shared" si="5"/>
        <v>37800</v>
      </c>
      <c r="M28" s="12">
        <f t="shared" si="5"/>
        <v>34020</v>
      </c>
      <c r="N28" s="12">
        <f t="shared" si="5"/>
        <v>15120</v>
      </c>
    </row>
    <row r="29" spans="1:14" x14ac:dyDescent="0.25">
      <c r="A29" s="7" t="s">
        <v>149</v>
      </c>
      <c r="C29" s="29">
        <f t="shared" ref="C29:N29" si="6">C28*C$71</f>
        <v>68040</v>
      </c>
      <c r="D29" s="29">
        <f t="shared" si="6"/>
        <v>18900</v>
      </c>
      <c r="E29" s="29">
        <f t="shared" si="6"/>
        <v>20790</v>
      </c>
      <c r="F29" s="29">
        <f t="shared" si="6"/>
        <v>13230</v>
      </c>
      <c r="G29" s="29">
        <f t="shared" si="6"/>
        <v>28350</v>
      </c>
      <c r="H29" s="29">
        <f t="shared" si="6"/>
        <v>11340</v>
      </c>
      <c r="I29" s="29">
        <f t="shared" si="6"/>
        <v>9450</v>
      </c>
      <c r="J29" s="29">
        <f t="shared" si="6"/>
        <v>13230</v>
      </c>
      <c r="K29" s="29">
        <f t="shared" si="6"/>
        <v>17010</v>
      </c>
      <c r="L29" s="29">
        <f t="shared" si="6"/>
        <v>37800</v>
      </c>
      <c r="M29" s="29">
        <f t="shared" si="6"/>
        <v>34020</v>
      </c>
      <c r="N29" s="29">
        <f t="shared" si="6"/>
        <v>15120</v>
      </c>
    </row>
    <row r="30" spans="1:14" x14ac:dyDescent="0.25">
      <c r="A30" s="5" t="s">
        <v>150</v>
      </c>
      <c r="C30" s="12">
        <f>C29*Inputs!$F$32</f>
        <v>6804</v>
      </c>
      <c r="D30" s="12">
        <f>D29*Inputs!$F$32</f>
        <v>1890</v>
      </c>
      <c r="E30" s="12">
        <f>E29*Inputs!$F$32</f>
        <v>2079</v>
      </c>
      <c r="F30" s="12">
        <f>F29*Inputs!$F$32</f>
        <v>1323</v>
      </c>
      <c r="G30" s="12">
        <f>G29*Inputs!$F$32</f>
        <v>2835</v>
      </c>
      <c r="H30" s="12">
        <f>H29*Inputs!$F$32</f>
        <v>1134</v>
      </c>
      <c r="I30" s="12">
        <f>I29*Inputs!$F$32</f>
        <v>945</v>
      </c>
      <c r="J30" s="12">
        <f>J29*Inputs!$F$32</f>
        <v>1323</v>
      </c>
      <c r="K30" s="12">
        <f>K29*Inputs!$F$32</f>
        <v>1701</v>
      </c>
      <c r="L30" s="12">
        <f>L29*Inputs!$F$32</f>
        <v>3780</v>
      </c>
      <c r="M30" s="12">
        <f>M29*Inputs!$F$32</f>
        <v>3402</v>
      </c>
      <c r="N30" s="12">
        <f>N29*Inputs!$F$32</f>
        <v>1512</v>
      </c>
    </row>
    <row r="31" spans="1:14" x14ac:dyDescent="0.25">
      <c r="A31" s="5" t="s">
        <v>151</v>
      </c>
      <c r="C31" s="12">
        <f>C29*Inputs!$G$32</f>
        <v>40824</v>
      </c>
      <c r="D31" s="12">
        <f>D29*Inputs!$G$32</f>
        <v>11340</v>
      </c>
      <c r="E31" s="12">
        <f>E29*Inputs!$G$32</f>
        <v>12474</v>
      </c>
      <c r="F31" s="12">
        <f>F29*Inputs!$G$32</f>
        <v>7938</v>
      </c>
      <c r="G31" s="12">
        <f>G29*Inputs!$G$32</f>
        <v>17010</v>
      </c>
      <c r="H31" s="12">
        <f>H29*Inputs!$G$32</f>
        <v>6804</v>
      </c>
      <c r="I31" s="12">
        <f>I29*Inputs!$G$32</f>
        <v>5670</v>
      </c>
      <c r="J31" s="12">
        <f>J29*Inputs!$G$32</f>
        <v>7938</v>
      </c>
      <c r="K31" s="12">
        <f>K29*Inputs!$G$32</f>
        <v>10206</v>
      </c>
      <c r="L31" s="12">
        <f>L29*Inputs!$G$32</f>
        <v>22680</v>
      </c>
      <c r="M31" s="12">
        <f>M29*Inputs!$G$32</f>
        <v>20412</v>
      </c>
      <c r="N31" s="12">
        <f>N29*Inputs!$G$32</f>
        <v>9072</v>
      </c>
    </row>
    <row r="32" spans="1:14" x14ac:dyDescent="0.25">
      <c r="A32" s="5" t="s">
        <v>152</v>
      </c>
      <c r="C32" s="12">
        <f>C29*Inputs!$H$32</f>
        <v>20412</v>
      </c>
      <c r="D32" s="12">
        <f>D29*Inputs!$H$32</f>
        <v>5670</v>
      </c>
      <c r="E32" s="12">
        <f>E29*Inputs!$H$32</f>
        <v>6237</v>
      </c>
      <c r="F32" s="12">
        <f>F29*Inputs!$H$32</f>
        <v>3969</v>
      </c>
      <c r="G32" s="12">
        <f>G29*Inputs!$H$32</f>
        <v>8505</v>
      </c>
      <c r="H32" s="12">
        <f>H29*Inputs!$H$32</f>
        <v>3402</v>
      </c>
      <c r="I32" s="12">
        <f>I29*Inputs!$H$32</f>
        <v>2835</v>
      </c>
      <c r="J32" s="12">
        <f>J29*Inputs!$H$32</f>
        <v>3969</v>
      </c>
      <c r="K32" s="12">
        <f>K29*Inputs!$H$32</f>
        <v>5103</v>
      </c>
      <c r="L32" s="12">
        <f>L29*Inputs!$H$32</f>
        <v>11340</v>
      </c>
      <c r="M32" s="12">
        <f>M29*Inputs!$H$32</f>
        <v>10206</v>
      </c>
      <c r="N32" s="12">
        <f>N29*Inputs!$H$32</f>
        <v>4536</v>
      </c>
    </row>
    <row r="33" spans="1:14" x14ac:dyDescent="0.25">
      <c r="A33" s="5" t="s">
        <v>153</v>
      </c>
      <c r="C33" s="12">
        <f>SUMIFS('Stock Aging'!$N$6:$N$1005,'Stock Aging'!$C$6:$C$1005,$A$22,'Stock Aging'!$O$6:$O$1005,C$4)</f>
        <v>0</v>
      </c>
      <c r="D33" s="12">
        <f>SUMIFS('Stock Aging'!$N$6:$N$1005,'Stock Aging'!$C$6:$C$1005,$A$22,'Stock Aging'!$O$6:$O$1005,D$4)</f>
        <v>0</v>
      </c>
      <c r="E33" s="12">
        <f>SUMIFS('Stock Aging'!$N$6:$N$1005,'Stock Aging'!$C$6:$C$1005,$A$22,'Stock Aging'!$O$6:$O$1005,E$4)</f>
        <v>0</v>
      </c>
      <c r="F33" s="12">
        <f>SUMIFS('Stock Aging'!$N$6:$N$1005,'Stock Aging'!$C$6:$C$1005,$A$22,'Stock Aging'!$O$6:$O$1005,F$4)</f>
        <v>0</v>
      </c>
      <c r="G33" s="12">
        <f>SUMIFS('Stock Aging'!$N$6:$N$1005,'Stock Aging'!$C$6:$C$1005,$A$22,'Stock Aging'!$O$6:$O$1005,G$4)</f>
        <v>0</v>
      </c>
      <c r="H33" s="12">
        <f>SUMIFS('Stock Aging'!$N$6:$N$1005,'Stock Aging'!$C$6:$C$1005,$A$22,'Stock Aging'!$O$6:$O$1005,H$4)</f>
        <v>0</v>
      </c>
      <c r="I33" s="12">
        <f>SUMIFS('Stock Aging'!$N$6:$N$1005,'Stock Aging'!$C$6:$C$1005,$A$22,'Stock Aging'!$O$6:$O$1005,I$4)</f>
        <v>0</v>
      </c>
      <c r="J33" s="12">
        <f>SUMIFS('Stock Aging'!$N$6:$N$1005,'Stock Aging'!$C$6:$C$1005,$A$22,'Stock Aging'!$O$6:$O$1005,J$4)</f>
        <v>0</v>
      </c>
      <c r="K33" s="12">
        <f>SUMIFS('Stock Aging'!$N$6:$N$1005,'Stock Aging'!$C$6:$C$1005,$A$22,'Stock Aging'!$O$6:$O$1005,K$4)</f>
        <v>0</v>
      </c>
      <c r="L33" s="12">
        <f>SUMIFS('Stock Aging'!$N$6:$N$1005,'Stock Aging'!$C$6:$C$1005,$A$22,'Stock Aging'!$O$6:$O$1005,L$4)</f>
        <v>0</v>
      </c>
      <c r="M33" s="12">
        <f>SUMIFS('Stock Aging'!$N$6:$N$1005,'Stock Aging'!$C$6:$C$1005,$A$22,'Stock Aging'!$O$6:$O$1005,M$4)</f>
        <v>0</v>
      </c>
      <c r="N33" s="12">
        <f>SUMIFS('Stock Aging'!$N$6:$N$1005,'Stock Aging'!$C$6:$C$1005,$A$22,'Stock Aging'!$O$6:$O$1005,N$4)</f>
        <v>0</v>
      </c>
    </row>
    <row r="34" spans="1:14" x14ac:dyDescent="0.25">
      <c r="A34" s="7" t="s">
        <v>154</v>
      </c>
      <c r="C34" s="16">
        <f t="shared" ref="C34:N34" si="7">C29-C33</f>
        <v>68040</v>
      </c>
      <c r="D34" s="16">
        <f t="shared" si="7"/>
        <v>18900</v>
      </c>
      <c r="E34" s="16">
        <f t="shared" si="7"/>
        <v>20790</v>
      </c>
      <c r="F34" s="16">
        <f t="shared" si="7"/>
        <v>13230</v>
      </c>
      <c r="G34" s="16">
        <f t="shared" si="7"/>
        <v>28350</v>
      </c>
      <c r="H34" s="16">
        <f t="shared" si="7"/>
        <v>11340</v>
      </c>
      <c r="I34" s="16">
        <f t="shared" si="7"/>
        <v>9450</v>
      </c>
      <c r="J34" s="16">
        <f t="shared" si="7"/>
        <v>13230</v>
      </c>
      <c r="K34" s="16">
        <f t="shared" si="7"/>
        <v>17010</v>
      </c>
      <c r="L34" s="16">
        <f t="shared" si="7"/>
        <v>37800</v>
      </c>
      <c r="M34" s="16">
        <f t="shared" si="7"/>
        <v>34020</v>
      </c>
      <c r="N34" s="16">
        <f t="shared" si="7"/>
        <v>15120</v>
      </c>
    </row>
    <row r="36" spans="1:14" x14ac:dyDescent="0.25">
      <c r="A36" s="27" t="str">
        <f>Inputs!$A$33</f>
        <v>Party Wear Synthetics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</row>
    <row r="37" spans="1:14" x14ac:dyDescent="0.25">
      <c r="A37" s="5" t="s">
        <v>143</v>
      </c>
      <c r="C37" s="12">
        <f>Inputs!$B$8*Inputs!$B$33*C$5</f>
        <v>40500</v>
      </c>
      <c r="D37" s="12">
        <f>Inputs!$B$8*Inputs!$B$33*D$5</f>
        <v>40500</v>
      </c>
      <c r="E37" s="12">
        <f>Inputs!$B$8*Inputs!$B$33*E$5</f>
        <v>37125</v>
      </c>
      <c r="F37" s="12">
        <f>Inputs!$B$8*Inputs!$B$33*F$5</f>
        <v>37125</v>
      </c>
      <c r="G37" s="12">
        <f>Inputs!$B$8*Inputs!$B$33*G$5</f>
        <v>30375</v>
      </c>
      <c r="H37" s="12">
        <f>Inputs!$B$8*Inputs!$B$33*H$5</f>
        <v>40500</v>
      </c>
      <c r="I37" s="12">
        <f>Inputs!$B$8*Inputs!$B$33*I$5</f>
        <v>30375</v>
      </c>
      <c r="J37" s="12">
        <f>Inputs!$B$8*Inputs!$B$33*J$5</f>
        <v>23625</v>
      </c>
      <c r="K37" s="12">
        <f>Inputs!$B$8*Inputs!$B$33*K$5</f>
        <v>23625</v>
      </c>
      <c r="L37" s="12">
        <f>Inputs!$B$8*Inputs!$B$33*L$5</f>
        <v>27000</v>
      </c>
      <c r="M37" s="12">
        <f>Inputs!$B$8*Inputs!$B$33*M$5</f>
        <v>47250</v>
      </c>
      <c r="N37" s="12">
        <f>Inputs!$B$8*Inputs!$B$33*N$5</f>
        <v>54000</v>
      </c>
    </row>
    <row r="38" spans="1:14" x14ac:dyDescent="0.25">
      <c r="A38" s="5" t="s">
        <v>144</v>
      </c>
      <c r="C38" s="12">
        <f>C37*(1-Inputs!$C$33)</f>
        <v>16200</v>
      </c>
      <c r="D38" s="12">
        <f>D37*(1-Inputs!$C$33)</f>
        <v>16200</v>
      </c>
      <c r="E38" s="12">
        <f>E37*(1-Inputs!$C$33)</f>
        <v>14850</v>
      </c>
      <c r="F38" s="12">
        <f>F37*(1-Inputs!$C$33)</f>
        <v>14850</v>
      </c>
      <c r="G38" s="12">
        <f>G37*(1-Inputs!$C$33)</f>
        <v>12150</v>
      </c>
      <c r="H38" s="12">
        <f>H37*(1-Inputs!$C$33)</f>
        <v>16200</v>
      </c>
      <c r="I38" s="12">
        <f>I37*(1-Inputs!$C$33)</f>
        <v>12150</v>
      </c>
      <c r="J38" s="12">
        <f>J37*(1-Inputs!$C$33)</f>
        <v>9450</v>
      </c>
      <c r="K38" s="12">
        <f>K37*(1-Inputs!$C$33)</f>
        <v>9450</v>
      </c>
      <c r="L38" s="12">
        <f>L37*(1-Inputs!$C$33)</f>
        <v>10800</v>
      </c>
      <c r="M38" s="12">
        <f>M37*(1-Inputs!$C$33)</f>
        <v>18900</v>
      </c>
      <c r="N38" s="12">
        <f>N37*(1-Inputs!$C$33)</f>
        <v>21600</v>
      </c>
    </row>
    <row r="39" spans="1:14" x14ac:dyDescent="0.25">
      <c r="A39" s="5" t="s">
        <v>145</v>
      </c>
      <c r="C39" s="12">
        <f>Inputs!$B$8*Inputs!$B$33*(1-Inputs!$C$33)*C$6*Inputs!$D$33</f>
        <v>24300</v>
      </c>
      <c r="D39" s="12">
        <f>Inputs!$B$8*Inputs!$B$33*(1-Inputs!$C$33)*D$6*Inputs!$D$33</f>
        <v>22275.000000000004</v>
      </c>
      <c r="E39" s="12">
        <f>Inputs!$B$8*Inputs!$B$33*(1-Inputs!$C$33)*E$6*Inputs!$D$33</f>
        <v>22275.000000000004</v>
      </c>
      <c r="F39" s="12">
        <f>Inputs!$B$8*Inputs!$B$33*(1-Inputs!$C$33)*F$6*Inputs!$D$33</f>
        <v>18225</v>
      </c>
      <c r="G39" s="12">
        <f>Inputs!$B$8*Inputs!$B$33*(1-Inputs!$C$33)*G$6*Inputs!$D$33</f>
        <v>24300</v>
      </c>
      <c r="H39" s="12">
        <f>Inputs!$B$8*Inputs!$B$33*(1-Inputs!$C$33)*H$6*Inputs!$D$33</f>
        <v>18225</v>
      </c>
      <c r="I39" s="12">
        <f>Inputs!$B$8*Inputs!$B$33*(1-Inputs!$C$33)*I$6*Inputs!$D$33</f>
        <v>14175</v>
      </c>
      <c r="J39" s="12">
        <f>Inputs!$B$8*Inputs!$B$33*(1-Inputs!$C$33)*J$6*Inputs!$D$33</f>
        <v>14175</v>
      </c>
      <c r="K39" s="12">
        <f>Inputs!$B$8*Inputs!$B$33*(1-Inputs!$C$33)*K$6*Inputs!$D$33</f>
        <v>16200</v>
      </c>
      <c r="L39" s="12">
        <f>Inputs!$B$8*Inputs!$B$33*(1-Inputs!$C$33)*L$6*Inputs!$D$33</f>
        <v>28350</v>
      </c>
      <c r="M39" s="12">
        <f>Inputs!$B$8*Inputs!$B$33*(1-Inputs!$C$33)*M$6*Inputs!$D$33</f>
        <v>32400</v>
      </c>
      <c r="N39" s="12">
        <f>Inputs!$B$8*Inputs!$B$33*(1-Inputs!$C$33)*N$6*Inputs!$D$33</f>
        <v>24300</v>
      </c>
    </row>
    <row r="40" spans="1:14" x14ac:dyDescent="0.25">
      <c r="A40" s="5" t="s">
        <v>146</v>
      </c>
      <c r="C40" s="12">
        <f>Inputs!$E$33</f>
        <v>0</v>
      </c>
      <c r="D40" s="12">
        <f t="shared" ref="D40:N40" si="8">C39</f>
        <v>24300</v>
      </c>
      <c r="E40" s="12">
        <f t="shared" si="8"/>
        <v>22275.000000000004</v>
      </c>
      <c r="F40" s="12">
        <f t="shared" si="8"/>
        <v>22275.000000000004</v>
      </c>
      <c r="G40" s="12">
        <f t="shared" si="8"/>
        <v>18225</v>
      </c>
      <c r="H40" s="12">
        <f t="shared" si="8"/>
        <v>24300</v>
      </c>
      <c r="I40" s="12">
        <f t="shared" si="8"/>
        <v>18225</v>
      </c>
      <c r="J40" s="12">
        <f t="shared" si="8"/>
        <v>14175</v>
      </c>
      <c r="K40" s="12">
        <f t="shared" si="8"/>
        <v>14175</v>
      </c>
      <c r="L40" s="12">
        <f t="shared" si="8"/>
        <v>16200</v>
      </c>
      <c r="M40" s="12">
        <f t="shared" si="8"/>
        <v>28350</v>
      </c>
      <c r="N40" s="12">
        <f t="shared" si="8"/>
        <v>32400</v>
      </c>
    </row>
    <row r="41" spans="1:14" x14ac:dyDescent="0.25">
      <c r="A41" s="5" t="s">
        <v>147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</row>
    <row r="42" spans="1:14" x14ac:dyDescent="0.25">
      <c r="A42" s="5" t="s">
        <v>148</v>
      </c>
      <c r="C42" s="12">
        <f t="shared" ref="C42:N42" si="9">MAX(0,C38+C39-C40-C41)</f>
        <v>40500</v>
      </c>
      <c r="D42" s="12">
        <f t="shared" si="9"/>
        <v>14175</v>
      </c>
      <c r="E42" s="12">
        <f t="shared" si="9"/>
        <v>14849.999999999996</v>
      </c>
      <c r="F42" s="12">
        <f t="shared" si="9"/>
        <v>10799.999999999996</v>
      </c>
      <c r="G42" s="12">
        <f t="shared" si="9"/>
        <v>18225</v>
      </c>
      <c r="H42" s="12">
        <f t="shared" si="9"/>
        <v>10125</v>
      </c>
      <c r="I42" s="12">
        <f t="shared" si="9"/>
        <v>8100</v>
      </c>
      <c r="J42" s="12">
        <f t="shared" si="9"/>
        <v>9450</v>
      </c>
      <c r="K42" s="12">
        <f t="shared" si="9"/>
        <v>11475</v>
      </c>
      <c r="L42" s="12">
        <f t="shared" si="9"/>
        <v>22950</v>
      </c>
      <c r="M42" s="12">
        <f t="shared" si="9"/>
        <v>22950</v>
      </c>
      <c r="N42" s="12">
        <f t="shared" si="9"/>
        <v>13500</v>
      </c>
    </row>
    <row r="43" spans="1:14" x14ac:dyDescent="0.25">
      <c r="A43" s="7" t="s">
        <v>149</v>
      </c>
      <c r="C43" s="29">
        <f t="shared" ref="C43:N43" si="10">C42*C$71</f>
        <v>40500</v>
      </c>
      <c r="D43" s="29">
        <f t="shared" si="10"/>
        <v>14175</v>
      </c>
      <c r="E43" s="29">
        <f t="shared" si="10"/>
        <v>14849.999999999996</v>
      </c>
      <c r="F43" s="29">
        <f t="shared" si="10"/>
        <v>10799.999999999996</v>
      </c>
      <c r="G43" s="29">
        <f t="shared" si="10"/>
        <v>18225</v>
      </c>
      <c r="H43" s="29">
        <f t="shared" si="10"/>
        <v>10125</v>
      </c>
      <c r="I43" s="29">
        <f t="shared" si="10"/>
        <v>8100</v>
      </c>
      <c r="J43" s="29">
        <f t="shared" si="10"/>
        <v>9450</v>
      </c>
      <c r="K43" s="29">
        <f t="shared" si="10"/>
        <v>11475</v>
      </c>
      <c r="L43" s="29">
        <f t="shared" si="10"/>
        <v>22950</v>
      </c>
      <c r="M43" s="29">
        <f t="shared" si="10"/>
        <v>22950</v>
      </c>
      <c r="N43" s="29">
        <f t="shared" si="10"/>
        <v>13500</v>
      </c>
    </row>
    <row r="44" spans="1:14" x14ac:dyDescent="0.25">
      <c r="A44" s="5" t="s">
        <v>150</v>
      </c>
      <c r="C44" s="12">
        <f>C43*Inputs!$F$33</f>
        <v>34425</v>
      </c>
      <c r="D44" s="12">
        <f>D43*Inputs!$F$33</f>
        <v>12048.75</v>
      </c>
      <c r="E44" s="12">
        <f>E43*Inputs!$F$33</f>
        <v>12622.499999999996</v>
      </c>
      <c r="F44" s="12">
        <f>F43*Inputs!$F$33</f>
        <v>9179.9999999999964</v>
      </c>
      <c r="G44" s="12">
        <f>G43*Inputs!$F$33</f>
        <v>15491.25</v>
      </c>
      <c r="H44" s="12">
        <f>H43*Inputs!$F$33</f>
        <v>8606.25</v>
      </c>
      <c r="I44" s="12">
        <f>I43*Inputs!$F$33</f>
        <v>6885</v>
      </c>
      <c r="J44" s="12">
        <f>J43*Inputs!$F$33</f>
        <v>8032.5</v>
      </c>
      <c r="K44" s="12">
        <f>K43*Inputs!$F$33</f>
        <v>9753.75</v>
      </c>
      <c r="L44" s="12">
        <f>L43*Inputs!$F$33</f>
        <v>19507.5</v>
      </c>
      <c r="M44" s="12">
        <f>M43*Inputs!$F$33</f>
        <v>19507.5</v>
      </c>
      <c r="N44" s="12">
        <f>N43*Inputs!$F$33</f>
        <v>11475</v>
      </c>
    </row>
    <row r="45" spans="1:14" x14ac:dyDescent="0.25">
      <c r="A45" s="5" t="s">
        <v>151</v>
      </c>
      <c r="C45" s="12">
        <f>C43*Inputs!$G$33</f>
        <v>6075</v>
      </c>
      <c r="D45" s="12">
        <f>D43*Inputs!$G$33</f>
        <v>2126.25</v>
      </c>
      <c r="E45" s="12">
        <f>E43*Inputs!$G$33</f>
        <v>2227.4999999999995</v>
      </c>
      <c r="F45" s="12">
        <f>F43*Inputs!$G$33</f>
        <v>1619.9999999999993</v>
      </c>
      <c r="G45" s="12">
        <f>G43*Inputs!$G$33</f>
        <v>2733.75</v>
      </c>
      <c r="H45" s="12">
        <f>H43*Inputs!$G$33</f>
        <v>1518.75</v>
      </c>
      <c r="I45" s="12">
        <f>I43*Inputs!$G$33</f>
        <v>1215</v>
      </c>
      <c r="J45" s="12">
        <f>J43*Inputs!$G$33</f>
        <v>1417.5</v>
      </c>
      <c r="K45" s="12">
        <f>K43*Inputs!$G$33</f>
        <v>1721.25</v>
      </c>
      <c r="L45" s="12">
        <f>L43*Inputs!$G$33</f>
        <v>3442.5</v>
      </c>
      <c r="M45" s="12">
        <f>M43*Inputs!$G$33</f>
        <v>3442.5</v>
      </c>
      <c r="N45" s="12">
        <f>N43*Inputs!$G$33</f>
        <v>2025</v>
      </c>
    </row>
    <row r="46" spans="1:14" x14ac:dyDescent="0.25">
      <c r="A46" s="5" t="s">
        <v>152</v>
      </c>
      <c r="C46" s="12">
        <f>C43*Inputs!$H$33</f>
        <v>0</v>
      </c>
      <c r="D46" s="12">
        <f>D43*Inputs!$H$33</f>
        <v>0</v>
      </c>
      <c r="E46" s="12">
        <f>E43*Inputs!$H$33</f>
        <v>0</v>
      </c>
      <c r="F46" s="12">
        <f>F43*Inputs!$H$33</f>
        <v>0</v>
      </c>
      <c r="G46" s="12">
        <f>G43*Inputs!$H$33</f>
        <v>0</v>
      </c>
      <c r="H46" s="12">
        <f>H43*Inputs!$H$33</f>
        <v>0</v>
      </c>
      <c r="I46" s="12">
        <f>I43*Inputs!$H$33</f>
        <v>0</v>
      </c>
      <c r="J46" s="12">
        <f>J43*Inputs!$H$33</f>
        <v>0</v>
      </c>
      <c r="K46" s="12">
        <f>K43*Inputs!$H$33</f>
        <v>0</v>
      </c>
      <c r="L46" s="12">
        <f>L43*Inputs!$H$33</f>
        <v>0</v>
      </c>
      <c r="M46" s="12">
        <f>M43*Inputs!$H$33</f>
        <v>0</v>
      </c>
      <c r="N46" s="12">
        <f>N43*Inputs!$H$33</f>
        <v>0</v>
      </c>
    </row>
    <row r="47" spans="1:14" x14ac:dyDescent="0.25">
      <c r="A47" s="5" t="s">
        <v>153</v>
      </c>
      <c r="C47" s="12">
        <f>SUMIFS('Stock Aging'!$N$6:$N$1005,'Stock Aging'!$C$6:$C$1005,$A$36,'Stock Aging'!$O$6:$O$1005,C$4)</f>
        <v>0</v>
      </c>
      <c r="D47" s="12">
        <f>SUMIFS('Stock Aging'!$N$6:$N$1005,'Stock Aging'!$C$6:$C$1005,$A$36,'Stock Aging'!$O$6:$O$1005,D$4)</f>
        <v>0</v>
      </c>
      <c r="E47" s="12">
        <f>SUMIFS('Stock Aging'!$N$6:$N$1005,'Stock Aging'!$C$6:$C$1005,$A$36,'Stock Aging'!$O$6:$O$1005,E$4)</f>
        <v>0</v>
      </c>
      <c r="F47" s="12">
        <f>SUMIFS('Stock Aging'!$N$6:$N$1005,'Stock Aging'!$C$6:$C$1005,$A$36,'Stock Aging'!$O$6:$O$1005,F$4)</f>
        <v>0</v>
      </c>
      <c r="G47" s="12">
        <f>SUMIFS('Stock Aging'!$N$6:$N$1005,'Stock Aging'!$C$6:$C$1005,$A$36,'Stock Aging'!$O$6:$O$1005,G$4)</f>
        <v>0</v>
      </c>
      <c r="H47" s="12">
        <f>SUMIFS('Stock Aging'!$N$6:$N$1005,'Stock Aging'!$C$6:$C$1005,$A$36,'Stock Aging'!$O$6:$O$1005,H$4)</f>
        <v>0</v>
      </c>
      <c r="I47" s="12">
        <f>SUMIFS('Stock Aging'!$N$6:$N$1005,'Stock Aging'!$C$6:$C$1005,$A$36,'Stock Aging'!$O$6:$O$1005,I$4)</f>
        <v>0</v>
      </c>
      <c r="J47" s="12">
        <f>SUMIFS('Stock Aging'!$N$6:$N$1005,'Stock Aging'!$C$6:$C$1005,$A$36,'Stock Aging'!$O$6:$O$1005,J$4)</f>
        <v>0</v>
      </c>
      <c r="K47" s="12">
        <f>SUMIFS('Stock Aging'!$N$6:$N$1005,'Stock Aging'!$C$6:$C$1005,$A$36,'Stock Aging'!$O$6:$O$1005,K$4)</f>
        <v>0</v>
      </c>
      <c r="L47" s="12">
        <f>SUMIFS('Stock Aging'!$N$6:$N$1005,'Stock Aging'!$C$6:$C$1005,$A$36,'Stock Aging'!$O$6:$O$1005,L$4)</f>
        <v>0</v>
      </c>
      <c r="M47" s="12">
        <f>SUMIFS('Stock Aging'!$N$6:$N$1005,'Stock Aging'!$C$6:$C$1005,$A$36,'Stock Aging'!$O$6:$O$1005,M$4)</f>
        <v>0</v>
      </c>
      <c r="N47" s="12">
        <f>SUMIFS('Stock Aging'!$N$6:$N$1005,'Stock Aging'!$C$6:$C$1005,$A$36,'Stock Aging'!$O$6:$O$1005,N$4)</f>
        <v>0</v>
      </c>
    </row>
    <row r="48" spans="1:14" x14ac:dyDescent="0.25">
      <c r="A48" s="7" t="s">
        <v>154</v>
      </c>
      <c r="C48" s="16">
        <f t="shared" ref="C48:N48" si="11">C43-C47</f>
        <v>40500</v>
      </c>
      <c r="D48" s="16">
        <f t="shared" si="11"/>
        <v>14175</v>
      </c>
      <c r="E48" s="16">
        <f t="shared" si="11"/>
        <v>14849.999999999996</v>
      </c>
      <c r="F48" s="16">
        <f t="shared" si="11"/>
        <v>10799.999999999996</v>
      </c>
      <c r="G48" s="16">
        <f t="shared" si="11"/>
        <v>18225</v>
      </c>
      <c r="H48" s="16">
        <f t="shared" si="11"/>
        <v>10125</v>
      </c>
      <c r="I48" s="16">
        <f t="shared" si="11"/>
        <v>8100</v>
      </c>
      <c r="J48" s="16">
        <f t="shared" si="11"/>
        <v>9450</v>
      </c>
      <c r="K48" s="16">
        <f t="shared" si="11"/>
        <v>11475</v>
      </c>
      <c r="L48" s="16">
        <f t="shared" si="11"/>
        <v>22950</v>
      </c>
      <c r="M48" s="16">
        <f t="shared" si="11"/>
        <v>22950</v>
      </c>
      <c r="N48" s="16">
        <f t="shared" si="11"/>
        <v>13500</v>
      </c>
    </row>
    <row r="50" spans="1:14" x14ac:dyDescent="0.25">
      <c r="A50" s="27" t="str">
        <f>Inputs!$A$34</f>
        <v>Bridal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</row>
    <row r="51" spans="1:14" x14ac:dyDescent="0.25">
      <c r="A51" s="5" t="s">
        <v>143</v>
      </c>
      <c r="C51" s="12">
        <f>Inputs!$B$8*Inputs!$B$34*C$5</f>
        <v>16200</v>
      </c>
      <c r="D51" s="12">
        <f>Inputs!$B$8*Inputs!$B$34*D$5</f>
        <v>16200</v>
      </c>
      <c r="E51" s="12">
        <f>Inputs!$B$8*Inputs!$B$34*E$5</f>
        <v>14850.000000000002</v>
      </c>
      <c r="F51" s="12">
        <f>Inputs!$B$8*Inputs!$B$34*F$5</f>
        <v>14850.000000000002</v>
      </c>
      <c r="G51" s="12">
        <f>Inputs!$B$8*Inputs!$B$34*G$5</f>
        <v>12150</v>
      </c>
      <c r="H51" s="12">
        <f>Inputs!$B$8*Inputs!$B$34*H$5</f>
        <v>16200</v>
      </c>
      <c r="I51" s="12">
        <f>Inputs!$B$8*Inputs!$B$34*I$5</f>
        <v>12150</v>
      </c>
      <c r="J51" s="12">
        <f>Inputs!$B$8*Inputs!$B$34*J$5</f>
        <v>9450</v>
      </c>
      <c r="K51" s="12">
        <f>Inputs!$B$8*Inputs!$B$34*K$5</f>
        <v>9450</v>
      </c>
      <c r="L51" s="12">
        <f>Inputs!$B$8*Inputs!$B$34*L$5</f>
        <v>10800</v>
      </c>
      <c r="M51" s="12">
        <f>Inputs!$B$8*Inputs!$B$34*M$5</f>
        <v>18900</v>
      </c>
      <c r="N51" s="12">
        <f>Inputs!$B$8*Inputs!$B$34*N$5</f>
        <v>21600</v>
      </c>
    </row>
    <row r="52" spans="1:14" x14ac:dyDescent="0.25">
      <c r="A52" s="5" t="s">
        <v>144</v>
      </c>
      <c r="C52" s="12">
        <f>C51*(1-Inputs!$C$34)</f>
        <v>6480</v>
      </c>
      <c r="D52" s="12">
        <f>D51*(1-Inputs!$C$34)</f>
        <v>6480</v>
      </c>
      <c r="E52" s="12">
        <f>E51*(1-Inputs!$C$34)</f>
        <v>5940.0000000000009</v>
      </c>
      <c r="F52" s="12">
        <f>F51*(1-Inputs!$C$34)</f>
        <v>5940.0000000000009</v>
      </c>
      <c r="G52" s="12">
        <f>G51*(1-Inputs!$C$34)</f>
        <v>4860</v>
      </c>
      <c r="H52" s="12">
        <f>H51*(1-Inputs!$C$34)</f>
        <v>6480</v>
      </c>
      <c r="I52" s="12">
        <f>I51*(1-Inputs!$C$34)</f>
        <v>4860</v>
      </c>
      <c r="J52" s="12">
        <f>J51*(1-Inputs!$C$34)</f>
        <v>3780</v>
      </c>
      <c r="K52" s="12">
        <f>K51*(1-Inputs!$C$34)</f>
        <v>3780</v>
      </c>
      <c r="L52" s="12">
        <f>L51*(1-Inputs!$C$34)</f>
        <v>4320</v>
      </c>
      <c r="M52" s="12">
        <f>M51*(1-Inputs!$C$34)</f>
        <v>7560</v>
      </c>
      <c r="N52" s="12">
        <f>N51*(1-Inputs!$C$34)</f>
        <v>8640</v>
      </c>
    </row>
    <row r="53" spans="1:14" x14ac:dyDescent="0.25">
      <c r="A53" s="5" t="s">
        <v>145</v>
      </c>
      <c r="C53" s="12">
        <f>Inputs!$B$8*Inputs!$B$34*(1-Inputs!$C$34)*C$6*Inputs!$D$34</f>
        <v>19440</v>
      </c>
      <c r="D53" s="12">
        <f>Inputs!$B$8*Inputs!$B$34*(1-Inputs!$C$34)*D$6*Inputs!$D$34</f>
        <v>17820.000000000004</v>
      </c>
      <c r="E53" s="12">
        <f>Inputs!$B$8*Inputs!$B$34*(1-Inputs!$C$34)*E$6*Inputs!$D$34</f>
        <v>17820.000000000004</v>
      </c>
      <c r="F53" s="12">
        <f>Inputs!$B$8*Inputs!$B$34*(1-Inputs!$C$34)*F$6*Inputs!$D$34</f>
        <v>14580</v>
      </c>
      <c r="G53" s="12">
        <f>Inputs!$B$8*Inputs!$B$34*(1-Inputs!$C$34)*G$6*Inputs!$D$34</f>
        <v>19440</v>
      </c>
      <c r="H53" s="12">
        <f>Inputs!$B$8*Inputs!$B$34*(1-Inputs!$C$34)*H$6*Inputs!$D$34</f>
        <v>14580</v>
      </c>
      <c r="I53" s="12">
        <f>Inputs!$B$8*Inputs!$B$34*(1-Inputs!$C$34)*I$6*Inputs!$D$34</f>
        <v>11339.999999999998</v>
      </c>
      <c r="J53" s="12">
        <f>Inputs!$B$8*Inputs!$B$34*(1-Inputs!$C$34)*J$6*Inputs!$D$34</f>
        <v>11339.999999999998</v>
      </c>
      <c r="K53" s="12">
        <f>Inputs!$B$8*Inputs!$B$34*(1-Inputs!$C$34)*K$6*Inputs!$D$34</f>
        <v>12960</v>
      </c>
      <c r="L53" s="12">
        <f>Inputs!$B$8*Inputs!$B$34*(1-Inputs!$C$34)*L$6*Inputs!$D$34</f>
        <v>22679.999999999996</v>
      </c>
      <c r="M53" s="12">
        <f>Inputs!$B$8*Inputs!$B$34*(1-Inputs!$C$34)*M$6*Inputs!$D$34</f>
        <v>25920</v>
      </c>
      <c r="N53" s="12">
        <f>Inputs!$B$8*Inputs!$B$34*(1-Inputs!$C$34)*N$6*Inputs!$D$34</f>
        <v>19440</v>
      </c>
    </row>
    <row r="54" spans="1:14" x14ac:dyDescent="0.25">
      <c r="A54" s="5" t="s">
        <v>146</v>
      </c>
      <c r="C54" s="12">
        <f>Inputs!$E$34</f>
        <v>0</v>
      </c>
      <c r="D54" s="12">
        <f t="shared" ref="D54:N54" si="12">C53</f>
        <v>19440</v>
      </c>
      <c r="E54" s="12">
        <f t="shared" si="12"/>
        <v>17820.000000000004</v>
      </c>
      <c r="F54" s="12">
        <f t="shared" si="12"/>
        <v>17820.000000000004</v>
      </c>
      <c r="G54" s="12">
        <f t="shared" si="12"/>
        <v>14580</v>
      </c>
      <c r="H54" s="12">
        <f t="shared" si="12"/>
        <v>19440</v>
      </c>
      <c r="I54" s="12">
        <f t="shared" si="12"/>
        <v>14580</v>
      </c>
      <c r="J54" s="12">
        <f t="shared" si="12"/>
        <v>11339.999999999998</v>
      </c>
      <c r="K54" s="12">
        <f t="shared" si="12"/>
        <v>11339.999999999998</v>
      </c>
      <c r="L54" s="12">
        <f t="shared" si="12"/>
        <v>12960</v>
      </c>
      <c r="M54" s="12">
        <f t="shared" si="12"/>
        <v>22679.999999999996</v>
      </c>
      <c r="N54" s="12">
        <f t="shared" si="12"/>
        <v>25920</v>
      </c>
    </row>
    <row r="55" spans="1:14" x14ac:dyDescent="0.25">
      <c r="A55" s="5" t="s">
        <v>147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</row>
    <row r="56" spans="1:14" x14ac:dyDescent="0.25">
      <c r="A56" s="5" t="s">
        <v>148</v>
      </c>
      <c r="C56" s="12">
        <f t="shared" ref="C56:N56" si="13">MAX(0,C52+C53-C54-C55)</f>
        <v>25920</v>
      </c>
      <c r="D56" s="12">
        <f t="shared" si="13"/>
        <v>4860.0000000000036</v>
      </c>
      <c r="E56" s="12">
        <f t="shared" si="13"/>
        <v>5940</v>
      </c>
      <c r="F56" s="12">
        <f t="shared" si="13"/>
        <v>2699.9999999999964</v>
      </c>
      <c r="G56" s="12">
        <f t="shared" si="13"/>
        <v>9720</v>
      </c>
      <c r="H56" s="12">
        <f t="shared" si="13"/>
        <v>1620</v>
      </c>
      <c r="I56" s="12">
        <f t="shared" si="13"/>
        <v>1619.9999999999982</v>
      </c>
      <c r="J56" s="12">
        <f t="shared" si="13"/>
        <v>3780</v>
      </c>
      <c r="K56" s="12">
        <f t="shared" si="13"/>
        <v>5400.0000000000018</v>
      </c>
      <c r="L56" s="12">
        <f t="shared" si="13"/>
        <v>14039.999999999996</v>
      </c>
      <c r="M56" s="12">
        <f t="shared" si="13"/>
        <v>10800.000000000004</v>
      </c>
      <c r="N56" s="12">
        <f t="shared" si="13"/>
        <v>2160</v>
      </c>
    </row>
    <row r="57" spans="1:14" x14ac:dyDescent="0.25">
      <c r="A57" s="7" t="s">
        <v>149</v>
      </c>
      <c r="C57" s="29">
        <f t="shared" ref="C57:N57" si="14">C56*C$71</f>
        <v>25920</v>
      </c>
      <c r="D57" s="29">
        <f t="shared" si="14"/>
        <v>4860.0000000000036</v>
      </c>
      <c r="E57" s="29">
        <f t="shared" si="14"/>
        <v>5940</v>
      </c>
      <c r="F57" s="29">
        <f t="shared" si="14"/>
        <v>2699.9999999999964</v>
      </c>
      <c r="G57" s="29">
        <f t="shared" si="14"/>
        <v>9720</v>
      </c>
      <c r="H57" s="29">
        <f t="shared" si="14"/>
        <v>1620</v>
      </c>
      <c r="I57" s="29">
        <f t="shared" si="14"/>
        <v>1619.9999999999982</v>
      </c>
      <c r="J57" s="29">
        <f t="shared" si="14"/>
        <v>3780</v>
      </c>
      <c r="K57" s="29">
        <f t="shared" si="14"/>
        <v>5400.0000000000018</v>
      </c>
      <c r="L57" s="29">
        <f t="shared" si="14"/>
        <v>14039.999999999996</v>
      </c>
      <c r="M57" s="29">
        <f t="shared" si="14"/>
        <v>10800.000000000004</v>
      </c>
      <c r="N57" s="29">
        <f t="shared" si="14"/>
        <v>2160</v>
      </c>
    </row>
    <row r="58" spans="1:14" x14ac:dyDescent="0.25">
      <c r="A58" s="5" t="s">
        <v>150</v>
      </c>
      <c r="C58" s="12">
        <f>C57*Inputs!$F$34</f>
        <v>7776</v>
      </c>
      <c r="D58" s="12">
        <f>D57*Inputs!$F$34</f>
        <v>1458.0000000000011</v>
      </c>
      <c r="E58" s="12">
        <f>E57*Inputs!$F$34</f>
        <v>1782</v>
      </c>
      <c r="F58" s="12">
        <f>F57*Inputs!$F$34</f>
        <v>809.99999999999886</v>
      </c>
      <c r="G58" s="12">
        <f>G57*Inputs!$F$34</f>
        <v>2916</v>
      </c>
      <c r="H58" s="12">
        <f>H57*Inputs!$F$34</f>
        <v>486</v>
      </c>
      <c r="I58" s="12">
        <f>I57*Inputs!$F$34</f>
        <v>485.99999999999943</v>
      </c>
      <c r="J58" s="12">
        <f>J57*Inputs!$F$34</f>
        <v>1134</v>
      </c>
      <c r="K58" s="12">
        <f>K57*Inputs!$F$34</f>
        <v>1620.0000000000005</v>
      </c>
      <c r="L58" s="12">
        <f>L57*Inputs!$F$34</f>
        <v>4211.9999999999991</v>
      </c>
      <c r="M58" s="12">
        <f>M57*Inputs!$F$34</f>
        <v>3240.0000000000009</v>
      </c>
      <c r="N58" s="12">
        <f>N57*Inputs!$F$34</f>
        <v>648</v>
      </c>
    </row>
    <row r="59" spans="1:14" x14ac:dyDescent="0.25">
      <c r="A59" s="5" t="s">
        <v>151</v>
      </c>
      <c r="C59" s="12">
        <f>C57*Inputs!$G$34</f>
        <v>12960</v>
      </c>
      <c r="D59" s="12">
        <f>D57*Inputs!$G$34</f>
        <v>2430.0000000000018</v>
      </c>
      <c r="E59" s="12">
        <f>E57*Inputs!$G$34</f>
        <v>2970</v>
      </c>
      <c r="F59" s="12">
        <f>F57*Inputs!$G$34</f>
        <v>1349.9999999999982</v>
      </c>
      <c r="G59" s="12">
        <f>G57*Inputs!$G$34</f>
        <v>4860</v>
      </c>
      <c r="H59" s="12">
        <f>H57*Inputs!$G$34</f>
        <v>810</v>
      </c>
      <c r="I59" s="12">
        <f>I57*Inputs!$G$34</f>
        <v>809.99999999999909</v>
      </c>
      <c r="J59" s="12">
        <f>J57*Inputs!$G$34</f>
        <v>1890</v>
      </c>
      <c r="K59" s="12">
        <f>K57*Inputs!$G$34</f>
        <v>2700.0000000000009</v>
      </c>
      <c r="L59" s="12">
        <f>L57*Inputs!$G$34</f>
        <v>7019.9999999999982</v>
      </c>
      <c r="M59" s="12">
        <f>M57*Inputs!$G$34</f>
        <v>5400.0000000000018</v>
      </c>
      <c r="N59" s="12">
        <f>N57*Inputs!$G$34</f>
        <v>1080</v>
      </c>
    </row>
    <row r="60" spans="1:14" x14ac:dyDescent="0.25">
      <c r="A60" s="5" t="s">
        <v>152</v>
      </c>
      <c r="C60" s="12">
        <f>C57*Inputs!$H$34</f>
        <v>5184</v>
      </c>
      <c r="D60" s="12">
        <f>D57*Inputs!$H$34</f>
        <v>972.0000000000008</v>
      </c>
      <c r="E60" s="12">
        <f>E57*Inputs!$H$34</f>
        <v>1188</v>
      </c>
      <c r="F60" s="12">
        <f>F57*Inputs!$H$34</f>
        <v>539.99999999999932</v>
      </c>
      <c r="G60" s="12">
        <f>G57*Inputs!$H$34</f>
        <v>1944</v>
      </c>
      <c r="H60" s="12">
        <f>H57*Inputs!$H$34</f>
        <v>324</v>
      </c>
      <c r="I60" s="12">
        <f>I57*Inputs!$H$34</f>
        <v>323.99999999999966</v>
      </c>
      <c r="J60" s="12">
        <f>J57*Inputs!$H$34</f>
        <v>756</v>
      </c>
      <c r="K60" s="12">
        <f>K57*Inputs!$H$34</f>
        <v>1080.0000000000005</v>
      </c>
      <c r="L60" s="12">
        <f>L57*Inputs!$H$34</f>
        <v>2807.9999999999995</v>
      </c>
      <c r="M60" s="12">
        <f>M57*Inputs!$H$34</f>
        <v>2160.0000000000009</v>
      </c>
      <c r="N60" s="12">
        <f>N57*Inputs!$H$34</f>
        <v>432</v>
      </c>
    </row>
    <row r="61" spans="1:14" x14ac:dyDescent="0.25">
      <c r="A61" s="5" t="s">
        <v>153</v>
      </c>
      <c r="C61" s="12">
        <f>SUMIFS('Stock Aging'!$N$6:$N$1005,'Stock Aging'!$C$6:$C$1005,$A$50,'Stock Aging'!$O$6:$O$1005,C$4)</f>
        <v>0</v>
      </c>
      <c r="D61" s="12">
        <f>SUMIFS('Stock Aging'!$N$6:$N$1005,'Stock Aging'!$C$6:$C$1005,$A$50,'Stock Aging'!$O$6:$O$1005,D$4)</f>
        <v>0</v>
      </c>
      <c r="E61" s="12">
        <f>SUMIFS('Stock Aging'!$N$6:$N$1005,'Stock Aging'!$C$6:$C$1005,$A$50,'Stock Aging'!$O$6:$O$1005,E$4)</f>
        <v>0</v>
      </c>
      <c r="F61" s="12">
        <f>SUMIFS('Stock Aging'!$N$6:$N$1005,'Stock Aging'!$C$6:$C$1005,$A$50,'Stock Aging'!$O$6:$O$1005,F$4)</f>
        <v>0</v>
      </c>
      <c r="G61" s="12">
        <f>SUMIFS('Stock Aging'!$N$6:$N$1005,'Stock Aging'!$C$6:$C$1005,$A$50,'Stock Aging'!$O$6:$O$1005,G$4)</f>
        <v>0</v>
      </c>
      <c r="H61" s="12">
        <f>SUMIFS('Stock Aging'!$N$6:$N$1005,'Stock Aging'!$C$6:$C$1005,$A$50,'Stock Aging'!$O$6:$O$1005,H$4)</f>
        <v>0</v>
      </c>
      <c r="I61" s="12">
        <f>SUMIFS('Stock Aging'!$N$6:$N$1005,'Stock Aging'!$C$6:$C$1005,$A$50,'Stock Aging'!$O$6:$O$1005,I$4)</f>
        <v>0</v>
      </c>
      <c r="J61" s="12">
        <f>SUMIFS('Stock Aging'!$N$6:$N$1005,'Stock Aging'!$C$6:$C$1005,$A$50,'Stock Aging'!$O$6:$O$1005,J$4)</f>
        <v>0</v>
      </c>
      <c r="K61" s="12">
        <f>SUMIFS('Stock Aging'!$N$6:$N$1005,'Stock Aging'!$C$6:$C$1005,$A$50,'Stock Aging'!$O$6:$O$1005,K$4)</f>
        <v>0</v>
      </c>
      <c r="L61" s="12">
        <f>SUMIFS('Stock Aging'!$N$6:$N$1005,'Stock Aging'!$C$6:$C$1005,$A$50,'Stock Aging'!$O$6:$O$1005,L$4)</f>
        <v>0</v>
      </c>
      <c r="M61" s="12">
        <f>SUMIFS('Stock Aging'!$N$6:$N$1005,'Stock Aging'!$C$6:$C$1005,$A$50,'Stock Aging'!$O$6:$O$1005,M$4)</f>
        <v>0</v>
      </c>
      <c r="N61" s="12">
        <f>SUMIFS('Stock Aging'!$N$6:$N$1005,'Stock Aging'!$C$6:$C$1005,$A$50,'Stock Aging'!$O$6:$O$1005,N$4)</f>
        <v>0</v>
      </c>
    </row>
    <row r="62" spans="1:14" x14ac:dyDescent="0.25">
      <c r="A62" s="7" t="s">
        <v>154</v>
      </c>
      <c r="C62" s="16">
        <f t="shared" ref="C62:N62" si="15">C57-C61</f>
        <v>25920</v>
      </c>
      <c r="D62" s="16">
        <f t="shared" si="15"/>
        <v>4860.0000000000036</v>
      </c>
      <c r="E62" s="16">
        <f t="shared" si="15"/>
        <v>5940</v>
      </c>
      <c r="F62" s="16">
        <f t="shared" si="15"/>
        <v>2699.9999999999964</v>
      </c>
      <c r="G62" s="16">
        <f t="shared" si="15"/>
        <v>9720</v>
      </c>
      <c r="H62" s="16">
        <f t="shared" si="15"/>
        <v>1620</v>
      </c>
      <c r="I62" s="16">
        <f t="shared" si="15"/>
        <v>1619.9999999999982</v>
      </c>
      <c r="J62" s="16">
        <f t="shared" si="15"/>
        <v>3780</v>
      </c>
      <c r="K62" s="16">
        <f t="shared" si="15"/>
        <v>5400.0000000000018</v>
      </c>
      <c r="L62" s="16">
        <f t="shared" si="15"/>
        <v>14039.999999999996</v>
      </c>
      <c r="M62" s="16">
        <f t="shared" si="15"/>
        <v>10800.000000000004</v>
      </c>
      <c r="N62" s="16">
        <f t="shared" si="15"/>
        <v>2160</v>
      </c>
    </row>
    <row r="65" spans="1:14" x14ac:dyDescent="0.25">
      <c r="A65" s="27" t="s">
        <v>155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spans="1:14" x14ac:dyDescent="0.25">
      <c r="A66" s="5" t="s">
        <v>156</v>
      </c>
      <c r="C66" s="12">
        <f t="shared" ref="C66:N66" si="16">C14+C28+C42+C56</f>
        <v>183060</v>
      </c>
      <c r="D66" s="12">
        <f t="shared" si="16"/>
        <v>54945</v>
      </c>
      <c r="E66" s="12">
        <f t="shared" si="16"/>
        <v>59400</v>
      </c>
      <c r="F66" s="12">
        <f t="shared" si="16"/>
        <v>39690</v>
      </c>
      <c r="G66" s="12">
        <f t="shared" si="16"/>
        <v>78165</v>
      </c>
      <c r="H66" s="12">
        <f t="shared" si="16"/>
        <v>35235</v>
      </c>
      <c r="I66" s="12">
        <f t="shared" si="16"/>
        <v>28890</v>
      </c>
      <c r="J66" s="12">
        <f t="shared" si="16"/>
        <v>37800</v>
      </c>
      <c r="K66" s="12">
        <f t="shared" si="16"/>
        <v>47655</v>
      </c>
      <c r="L66" s="12">
        <f t="shared" si="16"/>
        <v>102330</v>
      </c>
      <c r="M66" s="12">
        <f t="shared" si="16"/>
        <v>95310</v>
      </c>
      <c r="N66" s="12">
        <f t="shared" si="16"/>
        <v>46980</v>
      </c>
    </row>
    <row r="67" spans="1:14" x14ac:dyDescent="0.25">
      <c r="A67" s="5" t="s">
        <v>157</v>
      </c>
      <c r="C67" s="12">
        <f>Inputs!$B$6-Inputs!$B$7</f>
        <v>750000</v>
      </c>
      <c r="D67" s="12">
        <f t="shared" ref="D67:N67" si="17">C73</f>
        <v>625940</v>
      </c>
      <c r="E67" s="12">
        <f t="shared" si="17"/>
        <v>629995</v>
      </c>
      <c r="F67" s="12">
        <f t="shared" si="17"/>
        <v>616095</v>
      </c>
      <c r="G67" s="12">
        <f t="shared" si="17"/>
        <v>621905</v>
      </c>
      <c r="H67" s="12">
        <f t="shared" si="17"/>
        <v>562240</v>
      </c>
      <c r="I67" s="12">
        <f t="shared" si="17"/>
        <v>586005</v>
      </c>
      <c r="J67" s="12">
        <f t="shared" si="17"/>
        <v>575615</v>
      </c>
      <c r="K67" s="12">
        <f t="shared" si="17"/>
        <v>529315</v>
      </c>
      <c r="L67" s="12">
        <f t="shared" si="17"/>
        <v>473160</v>
      </c>
      <c r="M67" s="12">
        <f t="shared" si="17"/>
        <v>375830</v>
      </c>
      <c r="N67" s="12">
        <f t="shared" si="17"/>
        <v>366520</v>
      </c>
    </row>
    <row r="68" spans="1:14" x14ac:dyDescent="0.25">
      <c r="A68" s="5" t="s">
        <v>158</v>
      </c>
      <c r="C68" s="12">
        <f t="shared" ref="C68:N68" si="18">C9+C23+C37+C51</f>
        <v>162000</v>
      </c>
      <c r="D68" s="12">
        <f t="shared" si="18"/>
        <v>162000</v>
      </c>
      <c r="E68" s="12">
        <f t="shared" si="18"/>
        <v>148500</v>
      </c>
      <c r="F68" s="12">
        <f t="shared" si="18"/>
        <v>148500</v>
      </c>
      <c r="G68" s="12">
        <f t="shared" si="18"/>
        <v>121500</v>
      </c>
      <c r="H68" s="12">
        <f t="shared" si="18"/>
        <v>162000</v>
      </c>
      <c r="I68" s="12">
        <f t="shared" si="18"/>
        <v>121500</v>
      </c>
      <c r="J68" s="12">
        <f t="shared" si="18"/>
        <v>94500</v>
      </c>
      <c r="K68" s="12">
        <f t="shared" si="18"/>
        <v>94500</v>
      </c>
      <c r="L68" s="12">
        <f t="shared" si="18"/>
        <v>108000</v>
      </c>
      <c r="M68" s="12">
        <f t="shared" si="18"/>
        <v>189000</v>
      </c>
      <c r="N68" s="12">
        <f t="shared" si="18"/>
        <v>216000</v>
      </c>
    </row>
    <row r="69" spans="1:14" x14ac:dyDescent="0.25">
      <c r="A69" s="5" t="s">
        <v>159</v>
      </c>
      <c r="C69" s="12">
        <f>Inputs!$B$27</f>
        <v>103000</v>
      </c>
      <c r="D69" s="12">
        <f>Inputs!$B$27</f>
        <v>103000</v>
      </c>
      <c r="E69" s="12">
        <f>Inputs!$B$27</f>
        <v>103000</v>
      </c>
      <c r="F69" s="12">
        <f>Inputs!$B$27</f>
        <v>103000</v>
      </c>
      <c r="G69" s="12">
        <f>Inputs!$B$27</f>
        <v>103000</v>
      </c>
      <c r="H69" s="12">
        <f>Inputs!$B$27</f>
        <v>103000</v>
      </c>
      <c r="I69" s="12">
        <f>Inputs!$B$27</f>
        <v>103000</v>
      </c>
      <c r="J69" s="12">
        <f>Inputs!$B$27</f>
        <v>103000</v>
      </c>
      <c r="K69" s="12">
        <f>Inputs!$B$27</f>
        <v>103000</v>
      </c>
      <c r="L69" s="12">
        <f>Inputs!$B$27</f>
        <v>103000</v>
      </c>
      <c r="M69" s="12">
        <f>Inputs!$B$27</f>
        <v>103000</v>
      </c>
      <c r="N69" s="12">
        <f>Inputs!$B$27</f>
        <v>103000</v>
      </c>
    </row>
    <row r="70" spans="1:14" x14ac:dyDescent="0.25">
      <c r="A70" s="5" t="s">
        <v>160</v>
      </c>
      <c r="C70" s="12">
        <f>Inputs!$B$27*Inputs!$B$10</f>
        <v>206000</v>
      </c>
      <c r="D70" s="12">
        <f>Inputs!$B$27*Inputs!$B$10</f>
        <v>206000</v>
      </c>
      <c r="E70" s="12">
        <f>Inputs!$B$27*Inputs!$B$10</f>
        <v>206000</v>
      </c>
      <c r="F70" s="12">
        <f>Inputs!$B$27*Inputs!$B$10</f>
        <v>206000</v>
      </c>
      <c r="G70" s="12">
        <f>Inputs!$B$27*Inputs!$B$10</f>
        <v>206000</v>
      </c>
      <c r="H70" s="12">
        <f>Inputs!$B$27*Inputs!$B$10</f>
        <v>206000</v>
      </c>
      <c r="I70" s="12">
        <f>Inputs!$B$27*Inputs!$B$10</f>
        <v>206000</v>
      </c>
      <c r="J70" s="12">
        <f>Inputs!$B$27*Inputs!$B$10</f>
        <v>206000</v>
      </c>
      <c r="K70" s="12">
        <f>Inputs!$B$27*Inputs!$B$10</f>
        <v>206000</v>
      </c>
      <c r="L70" s="12">
        <f>Inputs!$B$27*Inputs!$B$10</f>
        <v>206000</v>
      </c>
      <c r="M70" s="12">
        <f>Inputs!$B$27*Inputs!$B$10</f>
        <v>206000</v>
      </c>
      <c r="N70" s="12">
        <f>Inputs!$B$27*Inputs!$B$10</f>
        <v>206000</v>
      </c>
    </row>
    <row r="71" spans="1:14" x14ac:dyDescent="0.25">
      <c r="A71" s="7" t="s">
        <v>161</v>
      </c>
      <c r="C71" s="30">
        <f t="shared" ref="C71:N71" si="19">IF(C66=0,1,MAX(0,MIN(1,(C67+C68-C69-C70)/C66)))</f>
        <v>1</v>
      </c>
      <c r="D71" s="30">
        <f t="shared" si="19"/>
        <v>1</v>
      </c>
      <c r="E71" s="30">
        <f t="shared" si="19"/>
        <v>1</v>
      </c>
      <c r="F71" s="30">
        <f t="shared" si="19"/>
        <v>1</v>
      </c>
      <c r="G71" s="30">
        <f t="shared" si="19"/>
        <v>1</v>
      </c>
      <c r="H71" s="30">
        <f t="shared" si="19"/>
        <v>1</v>
      </c>
      <c r="I71" s="30">
        <f t="shared" si="19"/>
        <v>1</v>
      </c>
      <c r="J71" s="30">
        <f t="shared" si="19"/>
        <v>1</v>
      </c>
      <c r="K71" s="30">
        <f t="shared" si="19"/>
        <v>1</v>
      </c>
      <c r="L71" s="30">
        <f t="shared" si="19"/>
        <v>1</v>
      </c>
      <c r="M71" s="30">
        <f t="shared" si="19"/>
        <v>1</v>
      </c>
      <c r="N71" s="30">
        <f t="shared" si="19"/>
        <v>1</v>
      </c>
    </row>
    <row r="72" spans="1:14" x14ac:dyDescent="0.25">
      <c r="A72" s="7" t="s">
        <v>162</v>
      </c>
      <c r="C72" s="16">
        <f t="shared" ref="C72:N72" si="20">C66*C71</f>
        <v>183060</v>
      </c>
      <c r="D72" s="16">
        <f t="shared" si="20"/>
        <v>54945</v>
      </c>
      <c r="E72" s="16">
        <f t="shared" si="20"/>
        <v>59400</v>
      </c>
      <c r="F72" s="16">
        <f t="shared" si="20"/>
        <v>39690</v>
      </c>
      <c r="G72" s="16">
        <f t="shared" si="20"/>
        <v>78165</v>
      </c>
      <c r="H72" s="16">
        <f t="shared" si="20"/>
        <v>35235</v>
      </c>
      <c r="I72" s="16">
        <f t="shared" si="20"/>
        <v>28890</v>
      </c>
      <c r="J72" s="16">
        <f t="shared" si="20"/>
        <v>37800</v>
      </c>
      <c r="K72" s="16">
        <f t="shared" si="20"/>
        <v>47655</v>
      </c>
      <c r="L72" s="16">
        <f t="shared" si="20"/>
        <v>102330</v>
      </c>
      <c r="M72" s="16">
        <f t="shared" si="20"/>
        <v>95310</v>
      </c>
      <c r="N72" s="16">
        <f t="shared" si="20"/>
        <v>46980</v>
      </c>
    </row>
    <row r="73" spans="1:14" x14ac:dyDescent="0.25">
      <c r="A73" s="5" t="s">
        <v>163</v>
      </c>
      <c r="C73" s="12">
        <f t="shared" ref="C73:N73" si="21">C67+C68-C69-C72</f>
        <v>625940</v>
      </c>
      <c r="D73" s="12">
        <f t="shared" si="21"/>
        <v>629995</v>
      </c>
      <c r="E73" s="12">
        <f t="shared" si="21"/>
        <v>616095</v>
      </c>
      <c r="F73" s="12">
        <f t="shared" si="21"/>
        <v>621905</v>
      </c>
      <c r="G73" s="12">
        <f t="shared" si="21"/>
        <v>562240</v>
      </c>
      <c r="H73" s="12">
        <f t="shared" si="21"/>
        <v>586005</v>
      </c>
      <c r="I73" s="12">
        <f t="shared" si="21"/>
        <v>575615</v>
      </c>
      <c r="J73" s="12">
        <f t="shared" si="21"/>
        <v>529315</v>
      </c>
      <c r="K73" s="12">
        <f t="shared" si="21"/>
        <v>473160</v>
      </c>
      <c r="L73" s="12">
        <f t="shared" si="21"/>
        <v>375830</v>
      </c>
      <c r="M73" s="12">
        <f t="shared" si="21"/>
        <v>366520</v>
      </c>
      <c r="N73" s="12">
        <f t="shared" si="21"/>
        <v>432540</v>
      </c>
    </row>
    <row r="74" spans="1:14" x14ac:dyDescent="0.25">
      <c r="A74" s="5" t="s">
        <v>58</v>
      </c>
      <c r="C74" s="13">
        <f>IF(Inputs!$B$27=0,0,C73/Inputs!$B$27)</f>
        <v>6.0770873786407771</v>
      </c>
      <c r="D74" s="13">
        <f>IF(Inputs!$B$27=0,0,D73/Inputs!$B$27)</f>
        <v>6.1164563106796113</v>
      </c>
      <c r="E74" s="13">
        <f>IF(Inputs!$B$27=0,0,E73/Inputs!$B$27)</f>
        <v>5.9815048543689322</v>
      </c>
      <c r="F74" s="13">
        <f>IF(Inputs!$B$27=0,0,F73/Inputs!$B$27)</f>
        <v>6.0379126213592231</v>
      </c>
      <c r="G74" s="13">
        <f>IF(Inputs!$B$27=0,0,G73/Inputs!$B$27)</f>
        <v>5.4586407766990295</v>
      </c>
      <c r="H74" s="13">
        <f>IF(Inputs!$B$27=0,0,H73/Inputs!$B$27)</f>
        <v>5.6893689320388345</v>
      </c>
      <c r="I74" s="13">
        <f>IF(Inputs!$B$27=0,0,I73/Inputs!$B$27)</f>
        <v>5.5884951456310681</v>
      </c>
      <c r="J74" s="13">
        <f>IF(Inputs!$B$27=0,0,J73/Inputs!$B$27)</f>
        <v>5.1389805825242716</v>
      </c>
      <c r="K74" s="13">
        <f>IF(Inputs!$B$27=0,0,K73/Inputs!$B$27)</f>
        <v>4.5937864077669905</v>
      </c>
      <c r="L74" s="13">
        <f>IF(Inputs!$B$27=0,0,L73/Inputs!$B$27)</f>
        <v>3.6488349514563105</v>
      </c>
      <c r="M74" s="13">
        <f>IF(Inputs!$B$27=0,0,M73/Inputs!$B$27)</f>
        <v>3.5584466019417476</v>
      </c>
      <c r="N74" s="13">
        <f>IF(Inputs!$B$27=0,0,N73/Inputs!$B$27)</f>
        <v>4.199417475728155</v>
      </c>
    </row>
    <row r="75" spans="1:14" x14ac:dyDescent="0.25">
      <c r="A75" s="7" t="s">
        <v>59</v>
      </c>
      <c r="C75" s="7" t="str">
        <f t="shared" ref="C75:N75" si="22">IF(C71&lt;1,"CASH-CAPPED "&amp;TEXT(C71,"0%"),"Fully funded")</f>
        <v>Fully funded</v>
      </c>
      <c r="D75" s="7" t="str">
        <f t="shared" si="22"/>
        <v>Fully funded</v>
      </c>
      <c r="E75" s="7" t="str">
        <f t="shared" si="22"/>
        <v>Fully funded</v>
      </c>
      <c r="F75" s="7" t="str">
        <f t="shared" si="22"/>
        <v>Fully funded</v>
      </c>
      <c r="G75" s="7" t="str">
        <f t="shared" si="22"/>
        <v>Fully funded</v>
      </c>
      <c r="H75" s="7" t="str">
        <f t="shared" si="22"/>
        <v>Fully funded</v>
      </c>
      <c r="I75" s="7" t="str">
        <f t="shared" si="22"/>
        <v>Fully funded</v>
      </c>
      <c r="J75" s="7" t="str">
        <f t="shared" si="22"/>
        <v>Fully funded</v>
      </c>
      <c r="K75" s="7" t="str">
        <f t="shared" si="22"/>
        <v>Fully funded</v>
      </c>
      <c r="L75" s="7" t="str">
        <f t="shared" si="22"/>
        <v>Fully funded</v>
      </c>
      <c r="M75" s="7" t="str">
        <f t="shared" si="22"/>
        <v>Fully funded</v>
      </c>
      <c r="N75" s="7" t="str">
        <f t="shared" si="22"/>
        <v>Fully funded</v>
      </c>
    </row>
    <row r="77" spans="1:14" x14ac:dyDescent="0.25">
      <c r="A77" s="2" t="s">
        <v>164</v>
      </c>
    </row>
  </sheetData>
  <conditionalFormatting sqref="C20:N20">
    <cfRule type="cellIs" dxfId="8" priority="1" operator="lessThan">
      <formula>0</formula>
    </cfRule>
  </conditionalFormatting>
  <conditionalFormatting sqref="C34:N34">
    <cfRule type="cellIs" dxfId="7" priority="2" operator="lessThan">
      <formula>0</formula>
    </cfRule>
  </conditionalFormatting>
  <conditionalFormatting sqref="C48:N48">
    <cfRule type="cellIs" dxfId="6" priority="3" operator="lessThan">
      <formula>0</formula>
    </cfRule>
  </conditionalFormatting>
  <conditionalFormatting sqref="C62:N62">
    <cfRule type="cellIs" dxfId="5" priority="4" operator="lessThan">
      <formula>0</formula>
    </cfRule>
  </conditionalFormatting>
  <conditionalFormatting sqref="C71:N71">
    <cfRule type="cellIs" dxfId="4" priority="5" operator="lessThan">
      <formula>1</formula>
    </cfRule>
  </conditionalFormatting>
  <conditionalFormatting sqref="C73:N73">
    <cfRule type="cellIs" dxfId="3" priority="6" operator="less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13" customWidth="1"/>
    <col min="4" max="4" width="11" customWidth="1"/>
    <col min="5" max="5" width="22" customWidth="1"/>
    <col min="6" max="6" width="30" customWidth="1"/>
    <col min="7" max="7" width="12" customWidth="1"/>
  </cols>
  <sheetData>
    <row r="1" spans="1:7" ht="18" x14ac:dyDescent="0.25">
      <c r="A1" s="1" t="s">
        <v>165</v>
      </c>
    </row>
    <row r="2" spans="1:7" x14ac:dyDescent="0.25">
      <c r="A2" s="2" t="s">
        <v>166</v>
      </c>
    </row>
    <row r="3" spans="1:7" x14ac:dyDescent="0.25">
      <c r="A3" s="31">
        <v>46328</v>
      </c>
      <c r="B3" s="2" t="s">
        <v>109</v>
      </c>
      <c r="C3" s="2" t="s">
        <v>46</v>
      </c>
      <c r="D3" s="2">
        <v>14</v>
      </c>
      <c r="E3" s="32">
        <v>16800</v>
      </c>
      <c r="F3" s="2" t="s">
        <v>167</v>
      </c>
    </row>
    <row r="5" spans="1:7" ht="25.5" x14ac:dyDescent="0.25">
      <c r="A5" s="8" t="s">
        <v>168</v>
      </c>
      <c r="B5" s="8" t="s">
        <v>28</v>
      </c>
      <c r="C5" s="8" t="s">
        <v>42</v>
      </c>
      <c r="D5" s="8" t="s">
        <v>169</v>
      </c>
      <c r="E5" s="8" t="s">
        <v>170</v>
      </c>
      <c r="F5" s="8" t="s">
        <v>171</v>
      </c>
      <c r="G5" s="8" t="s">
        <v>172</v>
      </c>
    </row>
    <row r="6" spans="1:7" x14ac:dyDescent="0.25">
      <c r="A6" s="33"/>
      <c r="B6" s="34"/>
      <c r="C6" s="34"/>
      <c r="D6" s="34"/>
      <c r="E6" s="35"/>
      <c r="F6" s="34"/>
      <c r="G6" s="36" t="str">
        <f t="shared" ref="G6:G69" si="0">IF(A6="","",DATE(YEAR(A6),MONTH(A6),1))</f>
        <v/>
      </c>
    </row>
    <row r="7" spans="1:7" x14ac:dyDescent="0.25">
      <c r="A7" s="33"/>
      <c r="B7" s="34"/>
      <c r="C7" s="34"/>
      <c r="D7" s="34"/>
      <c r="E7" s="35"/>
      <c r="F7" s="34"/>
      <c r="G7" s="36" t="str">
        <f t="shared" si="0"/>
        <v/>
      </c>
    </row>
    <row r="8" spans="1:7" x14ac:dyDescent="0.25">
      <c r="A8" s="33"/>
      <c r="B8" s="34"/>
      <c r="C8" s="34"/>
      <c r="D8" s="34"/>
      <c r="E8" s="35"/>
      <c r="F8" s="34"/>
      <c r="G8" s="36" t="str">
        <f t="shared" si="0"/>
        <v/>
      </c>
    </row>
    <row r="9" spans="1:7" x14ac:dyDescent="0.25">
      <c r="A9" s="33"/>
      <c r="B9" s="34"/>
      <c r="C9" s="34"/>
      <c r="D9" s="34"/>
      <c r="E9" s="35"/>
      <c r="F9" s="34"/>
      <c r="G9" s="36" t="str">
        <f t="shared" si="0"/>
        <v/>
      </c>
    </row>
    <row r="10" spans="1:7" x14ac:dyDescent="0.25">
      <c r="A10" s="33"/>
      <c r="B10" s="34"/>
      <c r="C10" s="34"/>
      <c r="D10" s="34"/>
      <c r="E10" s="35"/>
      <c r="F10" s="34"/>
      <c r="G10" s="36" t="str">
        <f t="shared" si="0"/>
        <v/>
      </c>
    </row>
    <row r="11" spans="1:7" x14ac:dyDescent="0.25">
      <c r="A11" s="33"/>
      <c r="B11" s="34"/>
      <c r="C11" s="34"/>
      <c r="D11" s="34"/>
      <c r="E11" s="35"/>
      <c r="F11" s="34"/>
      <c r="G11" s="36" t="str">
        <f t="shared" si="0"/>
        <v/>
      </c>
    </row>
    <row r="12" spans="1:7" x14ac:dyDescent="0.25">
      <c r="A12" s="33"/>
      <c r="B12" s="34"/>
      <c r="C12" s="34"/>
      <c r="D12" s="34"/>
      <c r="E12" s="35"/>
      <c r="F12" s="34"/>
      <c r="G12" s="36" t="str">
        <f t="shared" si="0"/>
        <v/>
      </c>
    </row>
    <row r="13" spans="1:7" x14ac:dyDescent="0.25">
      <c r="A13" s="33"/>
      <c r="B13" s="34"/>
      <c r="C13" s="34"/>
      <c r="D13" s="34"/>
      <c r="E13" s="35"/>
      <c r="F13" s="34"/>
      <c r="G13" s="36" t="str">
        <f t="shared" si="0"/>
        <v/>
      </c>
    </row>
    <row r="14" spans="1:7" x14ac:dyDescent="0.25">
      <c r="A14" s="33"/>
      <c r="B14" s="34"/>
      <c r="C14" s="34"/>
      <c r="D14" s="34"/>
      <c r="E14" s="35"/>
      <c r="F14" s="34"/>
      <c r="G14" s="36" t="str">
        <f t="shared" si="0"/>
        <v/>
      </c>
    </row>
    <row r="15" spans="1:7" x14ac:dyDescent="0.25">
      <c r="A15" s="33"/>
      <c r="B15" s="34"/>
      <c r="C15" s="34"/>
      <c r="D15" s="34"/>
      <c r="E15" s="35"/>
      <c r="F15" s="34"/>
      <c r="G15" s="36" t="str">
        <f t="shared" si="0"/>
        <v/>
      </c>
    </row>
    <row r="16" spans="1:7" x14ac:dyDescent="0.25">
      <c r="A16" s="33"/>
      <c r="B16" s="34"/>
      <c r="C16" s="34"/>
      <c r="D16" s="34"/>
      <c r="E16" s="35"/>
      <c r="F16" s="34"/>
      <c r="G16" s="36" t="str">
        <f t="shared" si="0"/>
        <v/>
      </c>
    </row>
    <row r="17" spans="1:7" x14ac:dyDescent="0.25">
      <c r="A17" s="33"/>
      <c r="B17" s="34"/>
      <c r="C17" s="34"/>
      <c r="D17" s="34"/>
      <c r="E17" s="35"/>
      <c r="F17" s="34"/>
      <c r="G17" s="36" t="str">
        <f t="shared" si="0"/>
        <v/>
      </c>
    </row>
    <row r="18" spans="1:7" x14ac:dyDescent="0.25">
      <c r="A18" s="33"/>
      <c r="B18" s="34"/>
      <c r="C18" s="34"/>
      <c r="D18" s="34"/>
      <c r="E18" s="35"/>
      <c r="F18" s="34"/>
      <c r="G18" s="36" t="str">
        <f t="shared" si="0"/>
        <v/>
      </c>
    </row>
    <row r="19" spans="1:7" x14ac:dyDescent="0.25">
      <c r="A19" s="33"/>
      <c r="B19" s="34"/>
      <c r="C19" s="34"/>
      <c r="D19" s="34"/>
      <c r="E19" s="35"/>
      <c r="F19" s="34"/>
      <c r="G19" s="36" t="str">
        <f t="shared" si="0"/>
        <v/>
      </c>
    </row>
    <row r="20" spans="1:7" x14ac:dyDescent="0.25">
      <c r="A20" s="33"/>
      <c r="B20" s="34"/>
      <c r="C20" s="34"/>
      <c r="D20" s="34"/>
      <c r="E20" s="35"/>
      <c r="F20" s="34"/>
      <c r="G20" s="36" t="str">
        <f t="shared" si="0"/>
        <v/>
      </c>
    </row>
    <row r="21" spans="1:7" x14ac:dyDescent="0.25">
      <c r="A21" s="33"/>
      <c r="B21" s="34"/>
      <c r="C21" s="34"/>
      <c r="D21" s="34"/>
      <c r="E21" s="35"/>
      <c r="F21" s="34"/>
      <c r="G21" s="36" t="str">
        <f t="shared" si="0"/>
        <v/>
      </c>
    </row>
    <row r="22" spans="1:7" x14ac:dyDescent="0.25">
      <c r="A22" s="33"/>
      <c r="B22" s="34"/>
      <c r="C22" s="34"/>
      <c r="D22" s="34"/>
      <c r="E22" s="35"/>
      <c r="F22" s="34"/>
      <c r="G22" s="36" t="str">
        <f t="shared" si="0"/>
        <v/>
      </c>
    </row>
    <row r="23" spans="1:7" x14ac:dyDescent="0.25">
      <c r="A23" s="33"/>
      <c r="B23" s="34"/>
      <c r="C23" s="34"/>
      <c r="D23" s="34"/>
      <c r="E23" s="35"/>
      <c r="F23" s="34"/>
      <c r="G23" s="36" t="str">
        <f t="shared" si="0"/>
        <v/>
      </c>
    </row>
    <row r="24" spans="1:7" x14ac:dyDescent="0.25">
      <c r="A24" s="33"/>
      <c r="B24" s="34"/>
      <c r="C24" s="34"/>
      <c r="D24" s="34"/>
      <c r="E24" s="35"/>
      <c r="F24" s="34"/>
      <c r="G24" s="36" t="str">
        <f t="shared" si="0"/>
        <v/>
      </c>
    </row>
    <row r="25" spans="1:7" x14ac:dyDescent="0.25">
      <c r="A25" s="33"/>
      <c r="B25" s="34"/>
      <c r="C25" s="34"/>
      <c r="D25" s="34"/>
      <c r="E25" s="35"/>
      <c r="F25" s="34"/>
      <c r="G25" s="36" t="str">
        <f t="shared" si="0"/>
        <v/>
      </c>
    </row>
    <row r="26" spans="1:7" x14ac:dyDescent="0.25">
      <c r="A26" s="33"/>
      <c r="B26" s="34"/>
      <c r="C26" s="34"/>
      <c r="D26" s="34"/>
      <c r="E26" s="35"/>
      <c r="F26" s="34"/>
      <c r="G26" s="36" t="str">
        <f t="shared" si="0"/>
        <v/>
      </c>
    </row>
    <row r="27" spans="1:7" x14ac:dyDescent="0.25">
      <c r="A27" s="33"/>
      <c r="B27" s="34"/>
      <c r="C27" s="34"/>
      <c r="D27" s="34"/>
      <c r="E27" s="35"/>
      <c r="F27" s="34"/>
      <c r="G27" s="36" t="str">
        <f t="shared" si="0"/>
        <v/>
      </c>
    </row>
    <row r="28" spans="1:7" x14ac:dyDescent="0.25">
      <c r="A28" s="33"/>
      <c r="B28" s="34"/>
      <c r="C28" s="34"/>
      <c r="D28" s="34"/>
      <c r="E28" s="35"/>
      <c r="F28" s="34"/>
      <c r="G28" s="36" t="str">
        <f t="shared" si="0"/>
        <v/>
      </c>
    </row>
    <row r="29" spans="1:7" x14ac:dyDescent="0.25">
      <c r="A29" s="33"/>
      <c r="B29" s="34"/>
      <c r="C29" s="34"/>
      <c r="D29" s="34"/>
      <c r="E29" s="35"/>
      <c r="F29" s="34"/>
      <c r="G29" s="36" t="str">
        <f t="shared" si="0"/>
        <v/>
      </c>
    </row>
    <row r="30" spans="1:7" x14ac:dyDescent="0.25">
      <c r="A30" s="33"/>
      <c r="B30" s="34"/>
      <c r="C30" s="34"/>
      <c r="D30" s="34"/>
      <c r="E30" s="35"/>
      <c r="F30" s="34"/>
      <c r="G30" s="36" t="str">
        <f t="shared" si="0"/>
        <v/>
      </c>
    </row>
    <row r="31" spans="1:7" x14ac:dyDescent="0.25">
      <c r="A31" s="33"/>
      <c r="B31" s="34"/>
      <c r="C31" s="34"/>
      <c r="D31" s="34"/>
      <c r="E31" s="35"/>
      <c r="F31" s="34"/>
      <c r="G31" s="36" t="str">
        <f t="shared" si="0"/>
        <v/>
      </c>
    </row>
    <row r="32" spans="1:7" x14ac:dyDescent="0.25">
      <c r="A32" s="33"/>
      <c r="B32" s="34"/>
      <c r="C32" s="34"/>
      <c r="D32" s="34"/>
      <c r="E32" s="35"/>
      <c r="F32" s="34"/>
      <c r="G32" s="36" t="str">
        <f t="shared" si="0"/>
        <v/>
      </c>
    </row>
    <row r="33" spans="1:7" x14ac:dyDescent="0.25">
      <c r="A33" s="33"/>
      <c r="B33" s="34"/>
      <c r="C33" s="34"/>
      <c r="D33" s="34"/>
      <c r="E33" s="35"/>
      <c r="F33" s="34"/>
      <c r="G33" s="36" t="str">
        <f t="shared" si="0"/>
        <v/>
      </c>
    </row>
    <row r="34" spans="1:7" x14ac:dyDescent="0.25">
      <c r="A34" s="33"/>
      <c r="B34" s="34"/>
      <c r="C34" s="34"/>
      <c r="D34" s="34"/>
      <c r="E34" s="35"/>
      <c r="F34" s="34"/>
      <c r="G34" s="36" t="str">
        <f t="shared" si="0"/>
        <v/>
      </c>
    </row>
    <row r="35" spans="1:7" x14ac:dyDescent="0.25">
      <c r="A35" s="33"/>
      <c r="B35" s="34"/>
      <c r="C35" s="34"/>
      <c r="D35" s="34"/>
      <c r="E35" s="35"/>
      <c r="F35" s="34"/>
      <c r="G35" s="36" t="str">
        <f t="shared" si="0"/>
        <v/>
      </c>
    </row>
    <row r="36" spans="1:7" x14ac:dyDescent="0.25">
      <c r="A36" s="33"/>
      <c r="B36" s="34"/>
      <c r="C36" s="34"/>
      <c r="D36" s="34"/>
      <c r="E36" s="35"/>
      <c r="F36" s="34"/>
      <c r="G36" s="36" t="str">
        <f t="shared" si="0"/>
        <v/>
      </c>
    </row>
    <row r="37" spans="1:7" x14ac:dyDescent="0.25">
      <c r="A37" s="33"/>
      <c r="B37" s="34"/>
      <c r="C37" s="34"/>
      <c r="D37" s="34"/>
      <c r="E37" s="35"/>
      <c r="F37" s="34"/>
      <c r="G37" s="36" t="str">
        <f t="shared" si="0"/>
        <v/>
      </c>
    </row>
    <row r="38" spans="1:7" x14ac:dyDescent="0.25">
      <c r="A38" s="33"/>
      <c r="B38" s="34"/>
      <c r="C38" s="34"/>
      <c r="D38" s="34"/>
      <c r="E38" s="35"/>
      <c r="F38" s="34"/>
      <c r="G38" s="36" t="str">
        <f t="shared" si="0"/>
        <v/>
      </c>
    </row>
    <row r="39" spans="1:7" x14ac:dyDescent="0.25">
      <c r="A39" s="33"/>
      <c r="B39" s="34"/>
      <c r="C39" s="34"/>
      <c r="D39" s="34"/>
      <c r="E39" s="35"/>
      <c r="F39" s="34"/>
      <c r="G39" s="36" t="str">
        <f t="shared" si="0"/>
        <v/>
      </c>
    </row>
    <row r="40" spans="1:7" x14ac:dyDescent="0.25">
      <c r="A40" s="33"/>
      <c r="B40" s="34"/>
      <c r="C40" s="34"/>
      <c r="D40" s="34"/>
      <c r="E40" s="35"/>
      <c r="F40" s="34"/>
      <c r="G40" s="36" t="str">
        <f t="shared" si="0"/>
        <v/>
      </c>
    </row>
    <row r="41" spans="1:7" x14ac:dyDescent="0.25">
      <c r="A41" s="33"/>
      <c r="B41" s="34"/>
      <c r="C41" s="34"/>
      <c r="D41" s="34"/>
      <c r="E41" s="35"/>
      <c r="F41" s="34"/>
      <c r="G41" s="36" t="str">
        <f t="shared" si="0"/>
        <v/>
      </c>
    </row>
    <row r="42" spans="1:7" x14ac:dyDescent="0.25">
      <c r="A42" s="33"/>
      <c r="B42" s="34"/>
      <c r="C42" s="34"/>
      <c r="D42" s="34"/>
      <c r="E42" s="35"/>
      <c r="F42" s="34"/>
      <c r="G42" s="36" t="str">
        <f t="shared" si="0"/>
        <v/>
      </c>
    </row>
    <row r="43" spans="1:7" x14ac:dyDescent="0.25">
      <c r="A43" s="33"/>
      <c r="B43" s="34"/>
      <c r="C43" s="34"/>
      <c r="D43" s="34"/>
      <c r="E43" s="35"/>
      <c r="F43" s="34"/>
      <c r="G43" s="36" t="str">
        <f t="shared" si="0"/>
        <v/>
      </c>
    </row>
    <row r="44" spans="1:7" x14ac:dyDescent="0.25">
      <c r="A44" s="33"/>
      <c r="B44" s="34"/>
      <c r="C44" s="34"/>
      <c r="D44" s="34"/>
      <c r="E44" s="35"/>
      <c r="F44" s="34"/>
      <c r="G44" s="36" t="str">
        <f t="shared" si="0"/>
        <v/>
      </c>
    </row>
    <row r="45" spans="1:7" x14ac:dyDescent="0.25">
      <c r="A45" s="33"/>
      <c r="B45" s="34"/>
      <c r="C45" s="34"/>
      <c r="D45" s="34"/>
      <c r="E45" s="35"/>
      <c r="F45" s="34"/>
      <c r="G45" s="36" t="str">
        <f t="shared" si="0"/>
        <v/>
      </c>
    </row>
    <row r="46" spans="1:7" x14ac:dyDescent="0.25">
      <c r="A46" s="33"/>
      <c r="B46" s="34"/>
      <c r="C46" s="34"/>
      <c r="D46" s="34"/>
      <c r="E46" s="35"/>
      <c r="F46" s="34"/>
      <c r="G46" s="36" t="str">
        <f t="shared" si="0"/>
        <v/>
      </c>
    </row>
    <row r="47" spans="1:7" x14ac:dyDescent="0.25">
      <c r="A47" s="33"/>
      <c r="B47" s="34"/>
      <c r="C47" s="34"/>
      <c r="D47" s="34"/>
      <c r="E47" s="35"/>
      <c r="F47" s="34"/>
      <c r="G47" s="36" t="str">
        <f t="shared" si="0"/>
        <v/>
      </c>
    </row>
    <row r="48" spans="1:7" x14ac:dyDescent="0.25">
      <c r="A48" s="33"/>
      <c r="B48" s="34"/>
      <c r="C48" s="34"/>
      <c r="D48" s="34"/>
      <c r="E48" s="35"/>
      <c r="F48" s="34"/>
      <c r="G48" s="36" t="str">
        <f t="shared" si="0"/>
        <v/>
      </c>
    </row>
    <row r="49" spans="1:7" x14ac:dyDescent="0.25">
      <c r="A49" s="33"/>
      <c r="B49" s="34"/>
      <c r="C49" s="34"/>
      <c r="D49" s="34"/>
      <c r="E49" s="35"/>
      <c r="F49" s="34"/>
      <c r="G49" s="36" t="str">
        <f t="shared" si="0"/>
        <v/>
      </c>
    </row>
    <row r="50" spans="1:7" x14ac:dyDescent="0.25">
      <c r="A50" s="33"/>
      <c r="B50" s="34"/>
      <c r="C50" s="34"/>
      <c r="D50" s="34"/>
      <c r="E50" s="35"/>
      <c r="F50" s="34"/>
      <c r="G50" s="36" t="str">
        <f t="shared" si="0"/>
        <v/>
      </c>
    </row>
    <row r="51" spans="1:7" x14ac:dyDescent="0.25">
      <c r="A51" s="33"/>
      <c r="B51" s="34"/>
      <c r="C51" s="34"/>
      <c r="D51" s="34"/>
      <c r="E51" s="35"/>
      <c r="F51" s="34"/>
      <c r="G51" s="36" t="str">
        <f t="shared" si="0"/>
        <v/>
      </c>
    </row>
    <row r="52" spans="1:7" x14ac:dyDescent="0.25">
      <c r="A52" s="33"/>
      <c r="B52" s="34"/>
      <c r="C52" s="34"/>
      <c r="D52" s="34"/>
      <c r="E52" s="35"/>
      <c r="F52" s="34"/>
      <c r="G52" s="36" t="str">
        <f t="shared" si="0"/>
        <v/>
      </c>
    </row>
    <row r="53" spans="1:7" x14ac:dyDescent="0.25">
      <c r="A53" s="33"/>
      <c r="B53" s="34"/>
      <c r="C53" s="34"/>
      <c r="D53" s="34"/>
      <c r="E53" s="35"/>
      <c r="F53" s="34"/>
      <c r="G53" s="36" t="str">
        <f t="shared" si="0"/>
        <v/>
      </c>
    </row>
    <row r="54" spans="1:7" x14ac:dyDescent="0.25">
      <c r="A54" s="33"/>
      <c r="B54" s="34"/>
      <c r="C54" s="34"/>
      <c r="D54" s="34"/>
      <c r="E54" s="35"/>
      <c r="F54" s="34"/>
      <c r="G54" s="36" t="str">
        <f t="shared" si="0"/>
        <v/>
      </c>
    </row>
    <row r="55" spans="1:7" x14ac:dyDescent="0.25">
      <c r="A55" s="33"/>
      <c r="B55" s="34"/>
      <c r="C55" s="34"/>
      <c r="D55" s="34"/>
      <c r="E55" s="35"/>
      <c r="F55" s="34"/>
      <c r="G55" s="36" t="str">
        <f t="shared" si="0"/>
        <v/>
      </c>
    </row>
    <row r="56" spans="1:7" x14ac:dyDescent="0.25">
      <c r="A56" s="33"/>
      <c r="B56" s="34"/>
      <c r="C56" s="34"/>
      <c r="D56" s="34"/>
      <c r="E56" s="35"/>
      <c r="F56" s="34"/>
      <c r="G56" s="36" t="str">
        <f t="shared" si="0"/>
        <v/>
      </c>
    </row>
    <row r="57" spans="1:7" x14ac:dyDescent="0.25">
      <c r="A57" s="33"/>
      <c r="B57" s="34"/>
      <c r="C57" s="34"/>
      <c r="D57" s="34"/>
      <c r="E57" s="35"/>
      <c r="F57" s="34"/>
      <c r="G57" s="36" t="str">
        <f t="shared" si="0"/>
        <v/>
      </c>
    </row>
    <row r="58" spans="1:7" x14ac:dyDescent="0.25">
      <c r="A58" s="33"/>
      <c r="B58" s="34"/>
      <c r="C58" s="34"/>
      <c r="D58" s="34"/>
      <c r="E58" s="35"/>
      <c r="F58" s="34"/>
      <c r="G58" s="36" t="str">
        <f t="shared" si="0"/>
        <v/>
      </c>
    </row>
    <row r="59" spans="1:7" x14ac:dyDescent="0.25">
      <c r="A59" s="33"/>
      <c r="B59" s="34"/>
      <c r="C59" s="34"/>
      <c r="D59" s="34"/>
      <c r="E59" s="35"/>
      <c r="F59" s="34"/>
      <c r="G59" s="36" t="str">
        <f t="shared" si="0"/>
        <v/>
      </c>
    </row>
    <row r="60" spans="1:7" x14ac:dyDescent="0.25">
      <c r="A60" s="33"/>
      <c r="B60" s="34"/>
      <c r="C60" s="34"/>
      <c r="D60" s="34"/>
      <c r="E60" s="35"/>
      <c r="F60" s="34"/>
      <c r="G60" s="36" t="str">
        <f t="shared" si="0"/>
        <v/>
      </c>
    </row>
    <row r="61" spans="1:7" x14ac:dyDescent="0.25">
      <c r="A61" s="33"/>
      <c r="B61" s="34"/>
      <c r="C61" s="34"/>
      <c r="D61" s="34"/>
      <c r="E61" s="35"/>
      <c r="F61" s="34"/>
      <c r="G61" s="36" t="str">
        <f t="shared" si="0"/>
        <v/>
      </c>
    </row>
    <row r="62" spans="1:7" x14ac:dyDescent="0.25">
      <c r="A62" s="33"/>
      <c r="B62" s="34"/>
      <c r="C62" s="34"/>
      <c r="D62" s="34"/>
      <c r="E62" s="35"/>
      <c r="F62" s="34"/>
      <c r="G62" s="36" t="str">
        <f t="shared" si="0"/>
        <v/>
      </c>
    </row>
    <row r="63" spans="1:7" x14ac:dyDescent="0.25">
      <c r="A63" s="33"/>
      <c r="B63" s="34"/>
      <c r="C63" s="34"/>
      <c r="D63" s="34"/>
      <c r="E63" s="35"/>
      <c r="F63" s="34"/>
      <c r="G63" s="36" t="str">
        <f t="shared" si="0"/>
        <v/>
      </c>
    </row>
    <row r="64" spans="1:7" x14ac:dyDescent="0.25">
      <c r="A64" s="33"/>
      <c r="B64" s="34"/>
      <c r="C64" s="34"/>
      <c r="D64" s="34"/>
      <c r="E64" s="35"/>
      <c r="F64" s="34"/>
      <c r="G64" s="36" t="str">
        <f t="shared" si="0"/>
        <v/>
      </c>
    </row>
    <row r="65" spans="1:7" x14ac:dyDescent="0.25">
      <c r="A65" s="33"/>
      <c r="B65" s="34"/>
      <c r="C65" s="34"/>
      <c r="D65" s="34"/>
      <c r="E65" s="35"/>
      <c r="F65" s="34"/>
      <c r="G65" s="36" t="str">
        <f t="shared" si="0"/>
        <v/>
      </c>
    </row>
    <row r="66" spans="1:7" x14ac:dyDescent="0.25">
      <c r="A66" s="33"/>
      <c r="B66" s="34"/>
      <c r="C66" s="34"/>
      <c r="D66" s="34"/>
      <c r="E66" s="35"/>
      <c r="F66" s="34"/>
      <c r="G66" s="36" t="str">
        <f t="shared" si="0"/>
        <v/>
      </c>
    </row>
    <row r="67" spans="1:7" x14ac:dyDescent="0.25">
      <c r="A67" s="33"/>
      <c r="B67" s="34"/>
      <c r="C67" s="34"/>
      <c r="D67" s="34"/>
      <c r="E67" s="35"/>
      <c r="F67" s="34"/>
      <c r="G67" s="36" t="str">
        <f t="shared" si="0"/>
        <v/>
      </c>
    </row>
    <row r="68" spans="1:7" x14ac:dyDescent="0.25">
      <c r="A68" s="33"/>
      <c r="B68" s="34"/>
      <c r="C68" s="34"/>
      <c r="D68" s="34"/>
      <c r="E68" s="35"/>
      <c r="F68" s="34"/>
      <c r="G68" s="36" t="str">
        <f t="shared" si="0"/>
        <v/>
      </c>
    </row>
    <row r="69" spans="1:7" x14ac:dyDescent="0.25">
      <c r="A69" s="33"/>
      <c r="B69" s="34"/>
      <c r="C69" s="34"/>
      <c r="D69" s="34"/>
      <c r="E69" s="35"/>
      <c r="F69" s="34"/>
      <c r="G69" s="36" t="str">
        <f t="shared" si="0"/>
        <v/>
      </c>
    </row>
    <row r="70" spans="1:7" x14ac:dyDescent="0.25">
      <c r="A70" s="33"/>
      <c r="B70" s="34"/>
      <c r="C70" s="34"/>
      <c r="D70" s="34"/>
      <c r="E70" s="35"/>
      <c r="F70" s="34"/>
      <c r="G70" s="36" t="str">
        <f t="shared" ref="G70:G133" si="1">IF(A70="","",DATE(YEAR(A70),MONTH(A70),1))</f>
        <v/>
      </c>
    </row>
    <row r="71" spans="1:7" x14ac:dyDescent="0.25">
      <c r="A71" s="33"/>
      <c r="B71" s="34"/>
      <c r="C71" s="34"/>
      <c r="D71" s="34"/>
      <c r="E71" s="35"/>
      <c r="F71" s="34"/>
      <c r="G71" s="36" t="str">
        <f t="shared" si="1"/>
        <v/>
      </c>
    </row>
    <row r="72" spans="1:7" x14ac:dyDescent="0.25">
      <c r="A72" s="33"/>
      <c r="B72" s="34"/>
      <c r="C72" s="34"/>
      <c r="D72" s="34"/>
      <c r="E72" s="35"/>
      <c r="F72" s="34"/>
      <c r="G72" s="36" t="str">
        <f t="shared" si="1"/>
        <v/>
      </c>
    </row>
    <row r="73" spans="1:7" x14ac:dyDescent="0.25">
      <c r="A73" s="33"/>
      <c r="B73" s="34"/>
      <c r="C73" s="34"/>
      <c r="D73" s="34"/>
      <c r="E73" s="35"/>
      <c r="F73" s="34"/>
      <c r="G73" s="36" t="str">
        <f t="shared" si="1"/>
        <v/>
      </c>
    </row>
    <row r="74" spans="1:7" x14ac:dyDescent="0.25">
      <c r="A74" s="33"/>
      <c r="B74" s="34"/>
      <c r="C74" s="34"/>
      <c r="D74" s="34"/>
      <c r="E74" s="35"/>
      <c r="F74" s="34"/>
      <c r="G74" s="36" t="str">
        <f t="shared" si="1"/>
        <v/>
      </c>
    </row>
    <row r="75" spans="1:7" x14ac:dyDescent="0.25">
      <c r="A75" s="33"/>
      <c r="B75" s="34"/>
      <c r="C75" s="34"/>
      <c r="D75" s="34"/>
      <c r="E75" s="35"/>
      <c r="F75" s="34"/>
      <c r="G75" s="36" t="str">
        <f t="shared" si="1"/>
        <v/>
      </c>
    </row>
    <row r="76" spans="1:7" x14ac:dyDescent="0.25">
      <c r="A76" s="33"/>
      <c r="B76" s="34"/>
      <c r="C76" s="34"/>
      <c r="D76" s="34"/>
      <c r="E76" s="35"/>
      <c r="F76" s="34"/>
      <c r="G76" s="36" t="str">
        <f t="shared" si="1"/>
        <v/>
      </c>
    </row>
    <row r="77" spans="1:7" x14ac:dyDescent="0.25">
      <c r="A77" s="33"/>
      <c r="B77" s="34"/>
      <c r="C77" s="34"/>
      <c r="D77" s="34"/>
      <c r="E77" s="35"/>
      <c r="F77" s="34"/>
      <c r="G77" s="36" t="str">
        <f t="shared" si="1"/>
        <v/>
      </c>
    </row>
    <row r="78" spans="1:7" x14ac:dyDescent="0.25">
      <c r="A78" s="33"/>
      <c r="B78" s="34"/>
      <c r="C78" s="34"/>
      <c r="D78" s="34"/>
      <c r="E78" s="35"/>
      <c r="F78" s="34"/>
      <c r="G78" s="36" t="str">
        <f t="shared" si="1"/>
        <v/>
      </c>
    </row>
    <row r="79" spans="1:7" x14ac:dyDescent="0.25">
      <c r="A79" s="33"/>
      <c r="B79" s="34"/>
      <c r="C79" s="34"/>
      <c r="D79" s="34"/>
      <c r="E79" s="35"/>
      <c r="F79" s="34"/>
      <c r="G79" s="36" t="str">
        <f t="shared" si="1"/>
        <v/>
      </c>
    </row>
    <row r="80" spans="1:7" x14ac:dyDescent="0.25">
      <c r="A80" s="33"/>
      <c r="B80" s="34"/>
      <c r="C80" s="34"/>
      <c r="D80" s="34"/>
      <c r="E80" s="35"/>
      <c r="F80" s="34"/>
      <c r="G80" s="36" t="str">
        <f t="shared" si="1"/>
        <v/>
      </c>
    </row>
    <row r="81" spans="1:7" x14ac:dyDescent="0.25">
      <c r="A81" s="33"/>
      <c r="B81" s="34"/>
      <c r="C81" s="34"/>
      <c r="D81" s="34"/>
      <c r="E81" s="35"/>
      <c r="F81" s="34"/>
      <c r="G81" s="36" t="str">
        <f t="shared" si="1"/>
        <v/>
      </c>
    </row>
    <row r="82" spans="1:7" x14ac:dyDescent="0.25">
      <c r="A82" s="33"/>
      <c r="B82" s="34"/>
      <c r="C82" s="34"/>
      <c r="D82" s="34"/>
      <c r="E82" s="35"/>
      <c r="F82" s="34"/>
      <c r="G82" s="36" t="str">
        <f t="shared" si="1"/>
        <v/>
      </c>
    </row>
    <row r="83" spans="1:7" x14ac:dyDescent="0.25">
      <c r="A83" s="33"/>
      <c r="B83" s="34"/>
      <c r="C83" s="34"/>
      <c r="D83" s="34"/>
      <c r="E83" s="35"/>
      <c r="F83" s="34"/>
      <c r="G83" s="36" t="str">
        <f t="shared" si="1"/>
        <v/>
      </c>
    </row>
    <row r="84" spans="1:7" x14ac:dyDescent="0.25">
      <c r="A84" s="33"/>
      <c r="B84" s="34"/>
      <c r="C84" s="34"/>
      <c r="D84" s="34"/>
      <c r="E84" s="35"/>
      <c r="F84" s="34"/>
      <c r="G84" s="36" t="str">
        <f t="shared" si="1"/>
        <v/>
      </c>
    </row>
    <row r="85" spans="1:7" x14ac:dyDescent="0.25">
      <c r="A85" s="33"/>
      <c r="B85" s="34"/>
      <c r="C85" s="34"/>
      <c r="D85" s="34"/>
      <c r="E85" s="35"/>
      <c r="F85" s="34"/>
      <c r="G85" s="36" t="str">
        <f t="shared" si="1"/>
        <v/>
      </c>
    </row>
    <row r="86" spans="1:7" x14ac:dyDescent="0.25">
      <c r="A86" s="33"/>
      <c r="B86" s="34"/>
      <c r="C86" s="34"/>
      <c r="D86" s="34"/>
      <c r="E86" s="35"/>
      <c r="F86" s="34"/>
      <c r="G86" s="36" t="str">
        <f t="shared" si="1"/>
        <v/>
      </c>
    </row>
    <row r="87" spans="1:7" x14ac:dyDescent="0.25">
      <c r="A87" s="33"/>
      <c r="B87" s="34"/>
      <c r="C87" s="34"/>
      <c r="D87" s="34"/>
      <c r="E87" s="35"/>
      <c r="F87" s="34"/>
      <c r="G87" s="36" t="str">
        <f t="shared" si="1"/>
        <v/>
      </c>
    </row>
    <row r="88" spans="1:7" x14ac:dyDescent="0.25">
      <c r="A88" s="33"/>
      <c r="B88" s="34"/>
      <c r="C88" s="34"/>
      <c r="D88" s="34"/>
      <c r="E88" s="35"/>
      <c r="F88" s="34"/>
      <c r="G88" s="36" t="str">
        <f t="shared" si="1"/>
        <v/>
      </c>
    </row>
    <row r="89" spans="1:7" x14ac:dyDescent="0.25">
      <c r="A89" s="33"/>
      <c r="B89" s="34"/>
      <c r="C89" s="34"/>
      <c r="D89" s="34"/>
      <c r="E89" s="35"/>
      <c r="F89" s="34"/>
      <c r="G89" s="36" t="str">
        <f t="shared" si="1"/>
        <v/>
      </c>
    </row>
    <row r="90" spans="1:7" x14ac:dyDescent="0.25">
      <c r="A90" s="33"/>
      <c r="B90" s="34"/>
      <c r="C90" s="34"/>
      <c r="D90" s="34"/>
      <c r="E90" s="35"/>
      <c r="F90" s="34"/>
      <c r="G90" s="36" t="str">
        <f t="shared" si="1"/>
        <v/>
      </c>
    </row>
    <row r="91" spans="1:7" x14ac:dyDescent="0.25">
      <c r="A91" s="33"/>
      <c r="B91" s="34"/>
      <c r="C91" s="34"/>
      <c r="D91" s="34"/>
      <c r="E91" s="35"/>
      <c r="F91" s="34"/>
      <c r="G91" s="36" t="str">
        <f t="shared" si="1"/>
        <v/>
      </c>
    </row>
    <row r="92" spans="1:7" x14ac:dyDescent="0.25">
      <c r="A92" s="33"/>
      <c r="B92" s="34"/>
      <c r="C92" s="34"/>
      <c r="D92" s="34"/>
      <c r="E92" s="35"/>
      <c r="F92" s="34"/>
      <c r="G92" s="36" t="str">
        <f t="shared" si="1"/>
        <v/>
      </c>
    </row>
    <row r="93" spans="1:7" x14ac:dyDescent="0.25">
      <c r="A93" s="33"/>
      <c r="B93" s="34"/>
      <c r="C93" s="34"/>
      <c r="D93" s="34"/>
      <c r="E93" s="35"/>
      <c r="F93" s="34"/>
      <c r="G93" s="36" t="str">
        <f t="shared" si="1"/>
        <v/>
      </c>
    </row>
    <row r="94" spans="1:7" x14ac:dyDescent="0.25">
      <c r="A94" s="33"/>
      <c r="B94" s="34"/>
      <c r="C94" s="34"/>
      <c r="D94" s="34"/>
      <c r="E94" s="35"/>
      <c r="F94" s="34"/>
      <c r="G94" s="36" t="str">
        <f t="shared" si="1"/>
        <v/>
      </c>
    </row>
    <row r="95" spans="1:7" x14ac:dyDescent="0.25">
      <c r="A95" s="33"/>
      <c r="B95" s="34"/>
      <c r="C95" s="34"/>
      <c r="D95" s="34"/>
      <c r="E95" s="35"/>
      <c r="F95" s="34"/>
      <c r="G95" s="36" t="str">
        <f t="shared" si="1"/>
        <v/>
      </c>
    </row>
    <row r="96" spans="1:7" x14ac:dyDescent="0.25">
      <c r="A96" s="33"/>
      <c r="B96" s="34"/>
      <c r="C96" s="34"/>
      <c r="D96" s="34"/>
      <c r="E96" s="35"/>
      <c r="F96" s="34"/>
      <c r="G96" s="36" t="str">
        <f t="shared" si="1"/>
        <v/>
      </c>
    </row>
    <row r="97" spans="1:7" x14ac:dyDescent="0.25">
      <c r="A97" s="33"/>
      <c r="B97" s="34"/>
      <c r="C97" s="34"/>
      <c r="D97" s="34"/>
      <c r="E97" s="35"/>
      <c r="F97" s="34"/>
      <c r="G97" s="36" t="str">
        <f t="shared" si="1"/>
        <v/>
      </c>
    </row>
    <row r="98" spans="1:7" x14ac:dyDescent="0.25">
      <c r="A98" s="33"/>
      <c r="B98" s="34"/>
      <c r="C98" s="34"/>
      <c r="D98" s="34"/>
      <c r="E98" s="35"/>
      <c r="F98" s="34"/>
      <c r="G98" s="36" t="str">
        <f t="shared" si="1"/>
        <v/>
      </c>
    </row>
    <row r="99" spans="1:7" x14ac:dyDescent="0.25">
      <c r="A99" s="33"/>
      <c r="B99" s="34"/>
      <c r="C99" s="34"/>
      <c r="D99" s="34"/>
      <c r="E99" s="35"/>
      <c r="F99" s="34"/>
      <c r="G99" s="36" t="str">
        <f t="shared" si="1"/>
        <v/>
      </c>
    </row>
    <row r="100" spans="1:7" x14ac:dyDescent="0.25">
      <c r="A100" s="33"/>
      <c r="B100" s="34"/>
      <c r="C100" s="34"/>
      <c r="D100" s="34"/>
      <c r="E100" s="35"/>
      <c r="F100" s="34"/>
      <c r="G100" s="36" t="str">
        <f t="shared" si="1"/>
        <v/>
      </c>
    </row>
    <row r="101" spans="1:7" x14ac:dyDescent="0.25">
      <c r="A101" s="33"/>
      <c r="B101" s="34"/>
      <c r="C101" s="34"/>
      <c r="D101" s="34"/>
      <c r="E101" s="35"/>
      <c r="F101" s="34"/>
      <c r="G101" s="36" t="str">
        <f t="shared" si="1"/>
        <v/>
      </c>
    </row>
    <row r="102" spans="1:7" x14ac:dyDescent="0.25">
      <c r="A102" s="33"/>
      <c r="B102" s="34"/>
      <c r="C102" s="34"/>
      <c r="D102" s="34"/>
      <c r="E102" s="35"/>
      <c r="F102" s="34"/>
      <c r="G102" s="36" t="str">
        <f t="shared" si="1"/>
        <v/>
      </c>
    </row>
    <row r="103" spans="1:7" x14ac:dyDescent="0.25">
      <c r="A103" s="33"/>
      <c r="B103" s="34"/>
      <c r="C103" s="34"/>
      <c r="D103" s="34"/>
      <c r="E103" s="35"/>
      <c r="F103" s="34"/>
      <c r="G103" s="36" t="str">
        <f t="shared" si="1"/>
        <v/>
      </c>
    </row>
    <row r="104" spans="1:7" x14ac:dyDescent="0.25">
      <c r="A104" s="33"/>
      <c r="B104" s="34"/>
      <c r="C104" s="34"/>
      <c r="D104" s="34"/>
      <c r="E104" s="35"/>
      <c r="F104" s="34"/>
      <c r="G104" s="36" t="str">
        <f t="shared" si="1"/>
        <v/>
      </c>
    </row>
    <row r="105" spans="1:7" x14ac:dyDescent="0.25">
      <c r="A105" s="33"/>
      <c r="B105" s="34"/>
      <c r="C105" s="34"/>
      <c r="D105" s="34"/>
      <c r="E105" s="35"/>
      <c r="F105" s="34"/>
      <c r="G105" s="36" t="str">
        <f t="shared" si="1"/>
        <v/>
      </c>
    </row>
    <row r="106" spans="1:7" x14ac:dyDescent="0.25">
      <c r="A106" s="33"/>
      <c r="B106" s="34"/>
      <c r="C106" s="34"/>
      <c r="D106" s="34"/>
      <c r="E106" s="35"/>
      <c r="F106" s="34"/>
      <c r="G106" s="36" t="str">
        <f t="shared" si="1"/>
        <v/>
      </c>
    </row>
    <row r="107" spans="1:7" x14ac:dyDescent="0.25">
      <c r="A107" s="33"/>
      <c r="B107" s="34"/>
      <c r="C107" s="34"/>
      <c r="D107" s="34"/>
      <c r="E107" s="35"/>
      <c r="F107" s="34"/>
      <c r="G107" s="36" t="str">
        <f t="shared" si="1"/>
        <v/>
      </c>
    </row>
    <row r="108" spans="1:7" x14ac:dyDescent="0.25">
      <c r="A108" s="33"/>
      <c r="B108" s="34"/>
      <c r="C108" s="34"/>
      <c r="D108" s="34"/>
      <c r="E108" s="35"/>
      <c r="F108" s="34"/>
      <c r="G108" s="36" t="str">
        <f t="shared" si="1"/>
        <v/>
      </c>
    </row>
    <row r="109" spans="1:7" x14ac:dyDescent="0.25">
      <c r="A109" s="33"/>
      <c r="B109" s="34"/>
      <c r="C109" s="34"/>
      <c r="D109" s="34"/>
      <c r="E109" s="35"/>
      <c r="F109" s="34"/>
      <c r="G109" s="36" t="str">
        <f t="shared" si="1"/>
        <v/>
      </c>
    </row>
    <row r="110" spans="1:7" x14ac:dyDescent="0.25">
      <c r="A110" s="33"/>
      <c r="B110" s="34"/>
      <c r="C110" s="34"/>
      <c r="D110" s="34"/>
      <c r="E110" s="35"/>
      <c r="F110" s="34"/>
      <c r="G110" s="36" t="str">
        <f t="shared" si="1"/>
        <v/>
      </c>
    </row>
    <row r="111" spans="1:7" x14ac:dyDescent="0.25">
      <c r="A111" s="33"/>
      <c r="B111" s="34"/>
      <c r="C111" s="34"/>
      <c r="D111" s="34"/>
      <c r="E111" s="35"/>
      <c r="F111" s="34"/>
      <c r="G111" s="36" t="str">
        <f t="shared" si="1"/>
        <v/>
      </c>
    </row>
    <row r="112" spans="1:7" x14ac:dyDescent="0.25">
      <c r="A112" s="33"/>
      <c r="B112" s="34"/>
      <c r="C112" s="34"/>
      <c r="D112" s="34"/>
      <c r="E112" s="35"/>
      <c r="F112" s="34"/>
      <c r="G112" s="36" t="str">
        <f t="shared" si="1"/>
        <v/>
      </c>
    </row>
    <row r="113" spans="1:7" x14ac:dyDescent="0.25">
      <c r="A113" s="33"/>
      <c r="B113" s="34"/>
      <c r="C113" s="34"/>
      <c r="D113" s="34"/>
      <c r="E113" s="35"/>
      <c r="F113" s="34"/>
      <c r="G113" s="36" t="str">
        <f t="shared" si="1"/>
        <v/>
      </c>
    </row>
    <row r="114" spans="1:7" x14ac:dyDescent="0.25">
      <c r="A114" s="33"/>
      <c r="B114" s="34"/>
      <c r="C114" s="34"/>
      <c r="D114" s="34"/>
      <c r="E114" s="35"/>
      <c r="F114" s="34"/>
      <c r="G114" s="36" t="str">
        <f t="shared" si="1"/>
        <v/>
      </c>
    </row>
    <row r="115" spans="1:7" x14ac:dyDescent="0.25">
      <c r="A115" s="33"/>
      <c r="B115" s="34"/>
      <c r="C115" s="34"/>
      <c r="D115" s="34"/>
      <c r="E115" s="35"/>
      <c r="F115" s="34"/>
      <c r="G115" s="36" t="str">
        <f t="shared" si="1"/>
        <v/>
      </c>
    </row>
    <row r="116" spans="1:7" x14ac:dyDescent="0.25">
      <c r="A116" s="33"/>
      <c r="B116" s="34"/>
      <c r="C116" s="34"/>
      <c r="D116" s="34"/>
      <c r="E116" s="35"/>
      <c r="F116" s="34"/>
      <c r="G116" s="36" t="str">
        <f t="shared" si="1"/>
        <v/>
      </c>
    </row>
    <row r="117" spans="1:7" x14ac:dyDescent="0.25">
      <c r="A117" s="33"/>
      <c r="B117" s="34"/>
      <c r="C117" s="34"/>
      <c r="D117" s="34"/>
      <c r="E117" s="35"/>
      <c r="F117" s="34"/>
      <c r="G117" s="36" t="str">
        <f t="shared" si="1"/>
        <v/>
      </c>
    </row>
    <row r="118" spans="1:7" x14ac:dyDescent="0.25">
      <c r="A118" s="33"/>
      <c r="B118" s="34"/>
      <c r="C118" s="34"/>
      <c r="D118" s="34"/>
      <c r="E118" s="35"/>
      <c r="F118" s="34"/>
      <c r="G118" s="36" t="str">
        <f t="shared" si="1"/>
        <v/>
      </c>
    </row>
    <row r="119" spans="1:7" x14ac:dyDescent="0.25">
      <c r="A119" s="33"/>
      <c r="B119" s="34"/>
      <c r="C119" s="34"/>
      <c r="D119" s="34"/>
      <c r="E119" s="35"/>
      <c r="F119" s="34"/>
      <c r="G119" s="36" t="str">
        <f t="shared" si="1"/>
        <v/>
      </c>
    </row>
    <row r="120" spans="1:7" x14ac:dyDescent="0.25">
      <c r="A120" s="33"/>
      <c r="B120" s="34"/>
      <c r="C120" s="34"/>
      <c r="D120" s="34"/>
      <c r="E120" s="35"/>
      <c r="F120" s="34"/>
      <c r="G120" s="36" t="str">
        <f t="shared" si="1"/>
        <v/>
      </c>
    </row>
    <row r="121" spans="1:7" x14ac:dyDescent="0.25">
      <c r="A121" s="33"/>
      <c r="B121" s="34"/>
      <c r="C121" s="34"/>
      <c r="D121" s="34"/>
      <c r="E121" s="35"/>
      <c r="F121" s="34"/>
      <c r="G121" s="36" t="str">
        <f t="shared" si="1"/>
        <v/>
      </c>
    </row>
    <row r="122" spans="1:7" x14ac:dyDescent="0.25">
      <c r="A122" s="33"/>
      <c r="B122" s="34"/>
      <c r="C122" s="34"/>
      <c r="D122" s="34"/>
      <c r="E122" s="35"/>
      <c r="F122" s="34"/>
      <c r="G122" s="36" t="str">
        <f t="shared" si="1"/>
        <v/>
      </c>
    </row>
    <row r="123" spans="1:7" x14ac:dyDescent="0.25">
      <c r="A123" s="33"/>
      <c r="B123" s="34"/>
      <c r="C123" s="34"/>
      <c r="D123" s="34"/>
      <c r="E123" s="35"/>
      <c r="F123" s="34"/>
      <c r="G123" s="36" t="str">
        <f t="shared" si="1"/>
        <v/>
      </c>
    </row>
    <row r="124" spans="1:7" x14ac:dyDescent="0.25">
      <c r="A124" s="33"/>
      <c r="B124" s="34"/>
      <c r="C124" s="34"/>
      <c r="D124" s="34"/>
      <c r="E124" s="35"/>
      <c r="F124" s="34"/>
      <c r="G124" s="36" t="str">
        <f t="shared" si="1"/>
        <v/>
      </c>
    </row>
    <row r="125" spans="1:7" x14ac:dyDescent="0.25">
      <c r="A125" s="33"/>
      <c r="B125" s="34"/>
      <c r="C125" s="34"/>
      <c r="D125" s="34"/>
      <c r="E125" s="35"/>
      <c r="F125" s="34"/>
      <c r="G125" s="36" t="str">
        <f t="shared" si="1"/>
        <v/>
      </c>
    </row>
    <row r="126" spans="1:7" x14ac:dyDescent="0.25">
      <c r="A126" s="33"/>
      <c r="B126" s="34"/>
      <c r="C126" s="34"/>
      <c r="D126" s="34"/>
      <c r="E126" s="35"/>
      <c r="F126" s="34"/>
      <c r="G126" s="36" t="str">
        <f t="shared" si="1"/>
        <v/>
      </c>
    </row>
    <row r="127" spans="1:7" x14ac:dyDescent="0.25">
      <c r="A127" s="33"/>
      <c r="B127" s="34"/>
      <c r="C127" s="34"/>
      <c r="D127" s="34"/>
      <c r="E127" s="35"/>
      <c r="F127" s="34"/>
      <c r="G127" s="36" t="str">
        <f t="shared" si="1"/>
        <v/>
      </c>
    </row>
    <row r="128" spans="1:7" x14ac:dyDescent="0.25">
      <c r="A128" s="33"/>
      <c r="B128" s="34"/>
      <c r="C128" s="34"/>
      <c r="D128" s="34"/>
      <c r="E128" s="35"/>
      <c r="F128" s="34"/>
      <c r="G128" s="36" t="str">
        <f t="shared" si="1"/>
        <v/>
      </c>
    </row>
    <row r="129" spans="1:7" x14ac:dyDescent="0.25">
      <c r="A129" s="33"/>
      <c r="B129" s="34"/>
      <c r="C129" s="34"/>
      <c r="D129" s="34"/>
      <c r="E129" s="35"/>
      <c r="F129" s="34"/>
      <c r="G129" s="36" t="str">
        <f t="shared" si="1"/>
        <v/>
      </c>
    </row>
    <row r="130" spans="1:7" x14ac:dyDescent="0.25">
      <c r="A130" s="33"/>
      <c r="B130" s="34"/>
      <c r="C130" s="34"/>
      <c r="D130" s="34"/>
      <c r="E130" s="35"/>
      <c r="F130" s="34"/>
      <c r="G130" s="36" t="str">
        <f t="shared" si="1"/>
        <v/>
      </c>
    </row>
    <row r="131" spans="1:7" x14ac:dyDescent="0.25">
      <c r="A131" s="33"/>
      <c r="B131" s="34"/>
      <c r="C131" s="34"/>
      <c r="D131" s="34"/>
      <c r="E131" s="35"/>
      <c r="F131" s="34"/>
      <c r="G131" s="36" t="str">
        <f t="shared" si="1"/>
        <v/>
      </c>
    </row>
    <row r="132" spans="1:7" x14ac:dyDescent="0.25">
      <c r="A132" s="33"/>
      <c r="B132" s="34"/>
      <c r="C132" s="34"/>
      <c r="D132" s="34"/>
      <c r="E132" s="35"/>
      <c r="F132" s="34"/>
      <c r="G132" s="36" t="str">
        <f t="shared" si="1"/>
        <v/>
      </c>
    </row>
    <row r="133" spans="1:7" x14ac:dyDescent="0.25">
      <c r="A133" s="33"/>
      <c r="B133" s="34"/>
      <c r="C133" s="34"/>
      <c r="D133" s="34"/>
      <c r="E133" s="35"/>
      <c r="F133" s="34"/>
      <c r="G133" s="36" t="str">
        <f t="shared" si="1"/>
        <v/>
      </c>
    </row>
    <row r="134" spans="1:7" x14ac:dyDescent="0.25">
      <c r="A134" s="33"/>
      <c r="B134" s="34"/>
      <c r="C134" s="34"/>
      <c r="D134" s="34"/>
      <c r="E134" s="35"/>
      <c r="F134" s="34"/>
      <c r="G134" s="36" t="str">
        <f t="shared" ref="G134:G197" si="2">IF(A134="","",DATE(YEAR(A134),MONTH(A134),1))</f>
        <v/>
      </c>
    </row>
    <row r="135" spans="1:7" x14ac:dyDescent="0.25">
      <c r="A135" s="33"/>
      <c r="B135" s="34"/>
      <c r="C135" s="34"/>
      <c r="D135" s="34"/>
      <c r="E135" s="35"/>
      <c r="F135" s="34"/>
      <c r="G135" s="36" t="str">
        <f t="shared" si="2"/>
        <v/>
      </c>
    </row>
    <row r="136" spans="1:7" x14ac:dyDescent="0.25">
      <c r="A136" s="33"/>
      <c r="B136" s="34"/>
      <c r="C136" s="34"/>
      <c r="D136" s="34"/>
      <c r="E136" s="35"/>
      <c r="F136" s="34"/>
      <c r="G136" s="36" t="str">
        <f t="shared" si="2"/>
        <v/>
      </c>
    </row>
    <row r="137" spans="1:7" x14ac:dyDescent="0.25">
      <c r="A137" s="33"/>
      <c r="B137" s="34"/>
      <c r="C137" s="34"/>
      <c r="D137" s="34"/>
      <c r="E137" s="35"/>
      <c r="F137" s="34"/>
      <c r="G137" s="36" t="str">
        <f t="shared" si="2"/>
        <v/>
      </c>
    </row>
    <row r="138" spans="1:7" x14ac:dyDescent="0.25">
      <c r="A138" s="33"/>
      <c r="B138" s="34"/>
      <c r="C138" s="34"/>
      <c r="D138" s="34"/>
      <c r="E138" s="35"/>
      <c r="F138" s="34"/>
      <c r="G138" s="36" t="str">
        <f t="shared" si="2"/>
        <v/>
      </c>
    </row>
    <row r="139" spans="1:7" x14ac:dyDescent="0.25">
      <c r="A139" s="33"/>
      <c r="B139" s="34"/>
      <c r="C139" s="34"/>
      <c r="D139" s="34"/>
      <c r="E139" s="35"/>
      <c r="F139" s="34"/>
      <c r="G139" s="36" t="str">
        <f t="shared" si="2"/>
        <v/>
      </c>
    </row>
    <row r="140" spans="1:7" x14ac:dyDescent="0.25">
      <c r="A140" s="33"/>
      <c r="B140" s="34"/>
      <c r="C140" s="34"/>
      <c r="D140" s="34"/>
      <c r="E140" s="35"/>
      <c r="F140" s="34"/>
      <c r="G140" s="36" t="str">
        <f t="shared" si="2"/>
        <v/>
      </c>
    </row>
    <row r="141" spans="1:7" x14ac:dyDescent="0.25">
      <c r="A141" s="33"/>
      <c r="B141" s="34"/>
      <c r="C141" s="34"/>
      <c r="D141" s="34"/>
      <c r="E141" s="35"/>
      <c r="F141" s="34"/>
      <c r="G141" s="36" t="str">
        <f t="shared" si="2"/>
        <v/>
      </c>
    </row>
    <row r="142" spans="1:7" x14ac:dyDescent="0.25">
      <c r="A142" s="33"/>
      <c r="B142" s="34"/>
      <c r="C142" s="34"/>
      <c r="D142" s="34"/>
      <c r="E142" s="35"/>
      <c r="F142" s="34"/>
      <c r="G142" s="36" t="str">
        <f t="shared" si="2"/>
        <v/>
      </c>
    </row>
    <row r="143" spans="1:7" x14ac:dyDescent="0.25">
      <c r="A143" s="33"/>
      <c r="B143" s="34"/>
      <c r="C143" s="34"/>
      <c r="D143" s="34"/>
      <c r="E143" s="35"/>
      <c r="F143" s="34"/>
      <c r="G143" s="36" t="str">
        <f t="shared" si="2"/>
        <v/>
      </c>
    </row>
    <row r="144" spans="1:7" x14ac:dyDescent="0.25">
      <c r="A144" s="33"/>
      <c r="B144" s="34"/>
      <c r="C144" s="34"/>
      <c r="D144" s="34"/>
      <c r="E144" s="35"/>
      <c r="F144" s="34"/>
      <c r="G144" s="36" t="str">
        <f t="shared" si="2"/>
        <v/>
      </c>
    </row>
    <row r="145" spans="1:7" x14ac:dyDescent="0.25">
      <c r="A145" s="33"/>
      <c r="B145" s="34"/>
      <c r="C145" s="34"/>
      <c r="D145" s="34"/>
      <c r="E145" s="35"/>
      <c r="F145" s="34"/>
      <c r="G145" s="36" t="str">
        <f t="shared" si="2"/>
        <v/>
      </c>
    </row>
    <row r="146" spans="1:7" x14ac:dyDescent="0.25">
      <c r="A146" s="33"/>
      <c r="B146" s="34"/>
      <c r="C146" s="34"/>
      <c r="D146" s="34"/>
      <c r="E146" s="35"/>
      <c r="F146" s="34"/>
      <c r="G146" s="36" t="str">
        <f t="shared" si="2"/>
        <v/>
      </c>
    </row>
    <row r="147" spans="1:7" x14ac:dyDescent="0.25">
      <c r="A147" s="33"/>
      <c r="B147" s="34"/>
      <c r="C147" s="34"/>
      <c r="D147" s="34"/>
      <c r="E147" s="35"/>
      <c r="F147" s="34"/>
      <c r="G147" s="36" t="str">
        <f t="shared" si="2"/>
        <v/>
      </c>
    </row>
    <row r="148" spans="1:7" x14ac:dyDescent="0.25">
      <c r="A148" s="33"/>
      <c r="B148" s="34"/>
      <c r="C148" s="34"/>
      <c r="D148" s="34"/>
      <c r="E148" s="35"/>
      <c r="F148" s="34"/>
      <c r="G148" s="36" t="str">
        <f t="shared" si="2"/>
        <v/>
      </c>
    </row>
    <row r="149" spans="1:7" x14ac:dyDescent="0.25">
      <c r="A149" s="33"/>
      <c r="B149" s="34"/>
      <c r="C149" s="34"/>
      <c r="D149" s="34"/>
      <c r="E149" s="35"/>
      <c r="F149" s="34"/>
      <c r="G149" s="36" t="str">
        <f t="shared" si="2"/>
        <v/>
      </c>
    </row>
    <row r="150" spans="1:7" x14ac:dyDescent="0.25">
      <c r="A150" s="33"/>
      <c r="B150" s="34"/>
      <c r="C150" s="34"/>
      <c r="D150" s="34"/>
      <c r="E150" s="35"/>
      <c r="F150" s="34"/>
      <c r="G150" s="36" t="str">
        <f t="shared" si="2"/>
        <v/>
      </c>
    </row>
    <row r="151" spans="1:7" x14ac:dyDescent="0.25">
      <c r="A151" s="33"/>
      <c r="B151" s="34"/>
      <c r="C151" s="34"/>
      <c r="D151" s="34"/>
      <c r="E151" s="35"/>
      <c r="F151" s="34"/>
      <c r="G151" s="36" t="str">
        <f t="shared" si="2"/>
        <v/>
      </c>
    </row>
    <row r="152" spans="1:7" x14ac:dyDescent="0.25">
      <c r="A152" s="33"/>
      <c r="B152" s="34"/>
      <c r="C152" s="34"/>
      <c r="D152" s="34"/>
      <c r="E152" s="35"/>
      <c r="F152" s="34"/>
      <c r="G152" s="36" t="str">
        <f t="shared" si="2"/>
        <v/>
      </c>
    </row>
    <row r="153" spans="1:7" x14ac:dyDescent="0.25">
      <c r="A153" s="33"/>
      <c r="B153" s="34"/>
      <c r="C153" s="34"/>
      <c r="D153" s="34"/>
      <c r="E153" s="35"/>
      <c r="F153" s="34"/>
      <c r="G153" s="36" t="str">
        <f t="shared" si="2"/>
        <v/>
      </c>
    </row>
    <row r="154" spans="1:7" x14ac:dyDescent="0.25">
      <c r="A154" s="33"/>
      <c r="B154" s="34"/>
      <c r="C154" s="34"/>
      <c r="D154" s="34"/>
      <c r="E154" s="35"/>
      <c r="F154" s="34"/>
      <c r="G154" s="36" t="str">
        <f t="shared" si="2"/>
        <v/>
      </c>
    </row>
    <row r="155" spans="1:7" x14ac:dyDescent="0.25">
      <c r="A155" s="33"/>
      <c r="B155" s="34"/>
      <c r="C155" s="34"/>
      <c r="D155" s="34"/>
      <c r="E155" s="35"/>
      <c r="F155" s="34"/>
      <c r="G155" s="36" t="str">
        <f t="shared" si="2"/>
        <v/>
      </c>
    </row>
    <row r="156" spans="1:7" x14ac:dyDescent="0.25">
      <c r="A156" s="33"/>
      <c r="B156" s="34"/>
      <c r="C156" s="34"/>
      <c r="D156" s="34"/>
      <c r="E156" s="35"/>
      <c r="F156" s="34"/>
      <c r="G156" s="36" t="str">
        <f t="shared" si="2"/>
        <v/>
      </c>
    </row>
    <row r="157" spans="1:7" x14ac:dyDescent="0.25">
      <c r="A157" s="33"/>
      <c r="B157" s="34"/>
      <c r="C157" s="34"/>
      <c r="D157" s="34"/>
      <c r="E157" s="35"/>
      <c r="F157" s="34"/>
      <c r="G157" s="36" t="str">
        <f t="shared" si="2"/>
        <v/>
      </c>
    </row>
    <row r="158" spans="1:7" x14ac:dyDescent="0.25">
      <c r="A158" s="33"/>
      <c r="B158" s="34"/>
      <c r="C158" s="34"/>
      <c r="D158" s="34"/>
      <c r="E158" s="35"/>
      <c r="F158" s="34"/>
      <c r="G158" s="36" t="str">
        <f t="shared" si="2"/>
        <v/>
      </c>
    </row>
    <row r="159" spans="1:7" x14ac:dyDescent="0.25">
      <c r="A159" s="33"/>
      <c r="B159" s="34"/>
      <c r="C159" s="34"/>
      <c r="D159" s="34"/>
      <c r="E159" s="35"/>
      <c r="F159" s="34"/>
      <c r="G159" s="36" t="str">
        <f t="shared" si="2"/>
        <v/>
      </c>
    </row>
    <row r="160" spans="1:7" x14ac:dyDescent="0.25">
      <c r="A160" s="33"/>
      <c r="B160" s="34"/>
      <c r="C160" s="34"/>
      <c r="D160" s="34"/>
      <c r="E160" s="35"/>
      <c r="F160" s="34"/>
      <c r="G160" s="36" t="str">
        <f t="shared" si="2"/>
        <v/>
      </c>
    </row>
    <row r="161" spans="1:7" x14ac:dyDescent="0.25">
      <c r="A161" s="33"/>
      <c r="B161" s="34"/>
      <c r="C161" s="34"/>
      <c r="D161" s="34"/>
      <c r="E161" s="35"/>
      <c r="F161" s="34"/>
      <c r="G161" s="36" t="str">
        <f t="shared" si="2"/>
        <v/>
      </c>
    </row>
    <row r="162" spans="1:7" x14ac:dyDescent="0.25">
      <c r="A162" s="33"/>
      <c r="B162" s="34"/>
      <c r="C162" s="34"/>
      <c r="D162" s="34"/>
      <c r="E162" s="35"/>
      <c r="F162" s="34"/>
      <c r="G162" s="36" t="str">
        <f t="shared" si="2"/>
        <v/>
      </c>
    </row>
    <row r="163" spans="1:7" x14ac:dyDescent="0.25">
      <c r="A163" s="33"/>
      <c r="B163" s="34"/>
      <c r="C163" s="34"/>
      <c r="D163" s="34"/>
      <c r="E163" s="35"/>
      <c r="F163" s="34"/>
      <c r="G163" s="36" t="str">
        <f t="shared" si="2"/>
        <v/>
      </c>
    </row>
    <row r="164" spans="1:7" x14ac:dyDescent="0.25">
      <c r="A164" s="33"/>
      <c r="B164" s="34"/>
      <c r="C164" s="34"/>
      <c r="D164" s="34"/>
      <c r="E164" s="35"/>
      <c r="F164" s="34"/>
      <c r="G164" s="36" t="str">
        <f t="shared" si="2"/>
        <v/>
      </c>
    </row>
    <row r="165" spans="1:7" x14ac:dyDescent="0.25">
      <c r="A165" s="33"/>
      <c r="B165" s="34"/>
      <c r="C165" s="34"/>
      <c r="D165" s="34"/>
      <c r="E165" s="35"/>
      <c r="F165" s="34"/>
      <c r="G165" s="36" t="str">
        <f t="shared" si="2"/>
        <v/>
      </c>
    </row>
    <row r="166" spans="1:7" x14ac:dyDescent="0.25">
      <c r="A166" s="33"/>
      <c r="B166" s="34"/>
      <c r="C166" s="34"/>
      <c r="D166" s="34"/>
      <c r="E166" s="35"/>
      <c r="F166" s="34"/>
      <c r="G166" s="36" t="str">
        <f t="shared" si="2"/>
        <v/>
      </c>
    </row>
    <row r="167" spans="1:7" x14ac:dyDescent="0.25">
      <c r="A167" s="33"/>
      <c r="B167" s="34"/>
      <c r="C167" s="34"/>
      <c r="D167" s="34"/>
      <c r="E167" s="35"/>
      <c r="F167" s="34"/>
      <c r="G167" s="36" t="str">
        <f t="shared" si="2"/>
        <v/>
      </c>
    </row>
    <row r="168" spans="1:7" x14ac:dyDescent="0.25">
      <c r="A168" s="33"/>
      <c r="B168" s="34"/>
      <c r="C168" s="34"/>
      <c r="D168" s="34"/>
      <c r="E168" s="35"/>
      <c r="F168" s="34"/>
      <c r="G168" s="36" t="str">
        <f t="shared" si="2"/>
        <v/>
      </c>
    </row>
    <row r="169" spans="1:7" x14ac:dyDescent="0.25">
      <c r="A169" s="33"/>
      <c r="B169" s="34"/>
      <c r="C169" s="34"/>
      <c r="D169" s="34"/>
      <c r="E169" s="35"/>
      <c r="F169" s="34"/>
      <c r="G169" s="36" t="str">
        <f t="shared" si="2"/>
        <v/>
      </c>
    </row>
    <row r="170" spans="1:7" x14ac:dyDescent="0.25">
      <c r="A170" s="33"/>
      <c r="B170" s="34"/>
      <c r="C170" s="34"/>
      <c r="D170" s="34"/>
      <c r="E170" s="35"/>
      <c r="F170" s="34"/>
      <c r="G170" s="36" t="str">
        <f t="shared" si="2"/>
        <v/>
      </c>
    </row>
    <row r="171" spans="1:7" x14ac:dyDescent="0.25">
      <c r="A171" s="33"/>
      <c r="B171" s="34"/>
      <c r="C171" s="34"/>
      <c r="D171" s="34"/>
      <c r="E171" s="35"/>
      <c r="F171" s="34"/>
      <c r="G171" s="36" t="str">
        <f t="shared" si="2"/>
        <v/>
      </c>
    </row>
    <row r="172" spans="1:7" x14ac:dyDescent="0.25">
      <c r="A172" s="33"/>
      <c r="B172" s="34"/>
      <c r="C172" s="34"/>
      <c r="D172" s="34"/>
      <c r="E172" s="35"/>
      <c r="F172" s="34"/>
      <c r="G172" s="36" t="str">
        <f t="shared" si="2"/>
        <v/>
      </c>
    </row>
    <row r="173" spans="1:7" x14ac:dyDescent="0.25">
      <c r="A173" s="33"/>
      <c r="B173" s="34"/>
      <c r="C173" s="34"/>
      <c r="D173" s="34"/>
      <c r="E173" s="35"/>
      <c r="F173" s="34"/>
      <c r="G173" s="36" t="str">
        <f t="shared" si="2"/>
        <v/>
      </c>
    </row>
    <row r="174" spans="1:7" x14ac:dyDescent="0.25">
      <c r="A174" s="33"/>
      <c r="B174" s="34"/>
      <c r="C174" s="34"/>
      <c r="D174" s="34"/>
      <c r="E174" s="35"/>
      <c r="F174" s="34"/>
      <c r="G174" s="36" t="str">
        <f t="shared" si="2"/>
        <v/>
      </c>
    </row>
    <row r="175" spans="1:7" x14ac:dyDescent="0.25">
      <c r="A175" s="33"/>
      <c r="B175" s="34"/>
      <c r="C175" s="34"/>
      <c r="D175" s="34"/>
      <c r="E175" s="35"/>
      <c r="F175" s="34"/>
      <c r="G175" s="36" t="str">
        <f t="shared" si="2"/>
        <v/>
      </c>
    </row>
    <row r="176" spans="1:7" x14ac:dyDescent="0.25">
      <c r="A176" s="33"/>
      <c r="B176" s="34"/>
      <c r="C176" s="34"/>
      <c r="D176" s="34"/>
      <c r="E176" s="35"/>
      <c r="F176" s="34"/>
      <c r="G176" s="36" t="str">
        <f t="shared" si="2"/>
        <v/>
      </c>
    </row>
    <row r="177" spans="1:7" x14ac:dyDescent="0.25">
      <c r="A177" s="33"/>
      <c r="B177" s="34"/>
      <c r="C177" s="34"/>
      <c r="D177" s="34"/>
      <c r="E177" s="35"/>
      <c r="F177" s="34"/>
      <c r="G177" s="36" t="str">
        <f t="shared" si="2"/>
        <v/>
      </c>
    </row>
    <row r="178" spans="1:7" x14ac:dyDescent="0.25">
      <c r="A178" s="33"/>
      <c r="B178" s="34"/>
      <c r="C178" s="34"/>
      <c r="D178" s="34"/>
      <c r="E178" s="35"/>
      <c r="F178" s="34"/>
      <c r="G178" s="36" t="str">
        <f t="shared" si="2"/>
        <v/>
      </c>
    </row>
    <row r="179" spans="1:7" x14ac:dyDescent="0.25">
      <c r="A179" s="33"/>
      <c r="B179" s="34"/>
      <c r="C179" s="34"/>
      <c r="D179" s="34"/>
      <c r="E179" s="35"/>
      <c r="F179" s="34"/>
      <c r="G179" s="36" t="str">
        <f t="shared" si="2"/>
        <v/>
      </c>
    </row>
    <row r="180" spans="1:7" x14ac:dyDescent="0.25">
      <c r="A180" s="33"/>
      <c r="B180" s="34"/>
      <c r="C180" s="34"/>
      <c r="D180" s="34"/>
      <c r="E180" s="35"/>
      <c r="F180" s="34"/>
      <c r="G180" s="36" t="str">
        <f t="shared" si="2"/>
        <v/>
      </c>
    </row>
    <row r="181" spans="1:7" x14ac:dyDescent="0.25">
      <c r="A181" s="33"/>
      <c r="B181" s="34"/>
      <c r="C181" s="34"/>
      <c r="D181" s="34"/>
      <c r="E181" s="35"/>
      <c r="F181" s="34"/>
      <c r="G181" s="36" t="str">
        <f t="shared" si="2"/>
        <v/>
      </c>
    </row>
    <row r="182" spans="1:7" x14ac:dyDescent="0.25">
      <c r="A182" s="33"/>
      <c r="B182" s="34"/>
      <c r="C182" s="34"/>
      <c r="D182" s="34"/>
      <c r="E182" s="35"/>
      <c r="F182" s="34"/>
      <c r="G182" s="36" t="str">
        <f t="shared" si="2"/>
        <v/>
      </c>
    </row>
    <row r="183" spans="1:7" x14ac:dyDescent="0.25">
      <c r="A183" s="33"/>
      <c r="B183" s="34"/>
      <c r="C183" s="34"/>
      <c r="D183" s="34"/>
      <c r="E183" s="35"/>
      <c r="F183" s="34"/>
      <c r="G183" s="36" t="str">
        <f t="shared" si="2"/>
        <v/>
      </c>
    </row>
    <row r="184" spans="1:7" x14ac:dyDescent="0.25">
      <c r="A184" s="33"/>
      <c r="B184" s="34"/>
      <c r="C184" s="34"/>
      <c r="D184" s="34"/>
      <c r="E184" s="35"/>
      <c r="F184" s="34"/>
      <c r="G184" s="36" t="str">
        <f t="shared" si="2"/>
        <v/>
      </c>
    </row>
    <row r="185" spans="1:7" x14ac:dyDescent="0.25">
      <c r="A185" s="33"/>
      <c r="B185" s="34"/>
      <c r="C185" s="34"/>
      <c r="D185" s="34"/>
      <c r="E185" s="35"/>
      <c r="F185" s="34"/>
      <c r="G185" s="36" t="str">
        <f t="shared" si="2"/>
        <v/>
      </c>
    </row>
    <row r="186" spans="1:7" x14ac:dyDescent="0.25">
      <c r="A186" s="33"/>
      <c r="B186" s="34"/>
      <c r="C186" s="34"/>
      <c r="D186" s="34"/>
      <c r="E186" s="35"/>
      <c r="F186" s="34"/>
      <c r="G186" s="36" t="str">
        <f t="shared" si="2"/>
        <v/>
      </c>
    </row>
    <row r="187" spans="1:7" x14ac:dyDescent="0.25">
      <c r="A187" s="33"/>
      <c r="B187" s="34"/>
      <c r="C187" s="34"/>
      <c r="D187" s="34"/>
      <c r="E187" s="35"/>
      <c r="F187" s="34"/>
      <c r="G187" s="36" t="str">
        <f t="shared" si="2"/>
        <v/>
      </c>
    </row>
    <row r="188" spans="1:7" x14ac:dyDescent="0.25">
      <c r="A188" s="33"/>
      <c r="B188" s="34"/>
      <c r="C188" s="34"/>
      <c r="D188" s="34"/>
      <c r="E188" s="35"/>
      <c r="F188" s="34"/>
      <c r="G188" s="36" t="str">
        <f t="shared" si="2"/>
        <v/>
      </c>
    </row>
    <row r="189" spans="1:7" x14ac:dyDescent="0.25">
      <c r="A189" s="33"/>
      <c r="B189" s="34"/>
      <c r="C189" s="34"/>
      <c r="D189" s="34"/>
      <c r="E189" s="35"/>
      <c r="F189" s="34"/>
      <c r="G189" s="36" t="str">
        <f t="shared" si="2"/>
        <v/>
      </c>
    </row>
    <row r="190" spans="1:7" x14ac:dyDescent="0.25">
      <c r="A190" s="33"/>
      <c r="B190" s="34"/>
      <c r="C190" s="34"/>
      <c r="D190" s="34"/>
      <c r="E190" s="35"/>
      <c r="F190" s="34"/>
      <c r="G190" s="36" t="str">
        <f t="shared" si="2"/>
        <v/>
      </c>
    </row>
    <row r="191" spans="1:7" x14ac:dyDescent="0.25">
      <c r="A191" s="33"/>
      <c r="B191" s="34"/>
      <c r="C191" s="34"/>
      <c r="D191" s="34"/>
      <c r="E191" s="35"/>
      <c r="F191" s="34"/>
      <c r="G191" s="36" t="str">
        <f t="shared" si="2"/>
        <v/>
      </c>
    </row>
    <row r="192" spans="1:7" x14ac:dyDescent="0.25">
      <c r="A192" s="33"/>
      <c r="B192" s="34"/>
      <c r="C192" s="34"/>
      <c r="D192" s="34"/>
      <c r="E192" s="35"/>
      <c r="F192" s="34"/>
      <c r="G192" s="36" t="str">
        <f t="shared" si="2"/>
        <v/>
      </c>
    </row>
    <row r="193" spans="1:7" x14ac:dyDescent="0.25">
      <c r="A193" s="33"/>
      <c r="B193" s="34"/>
      <c r="C193" s="34"/>
      <c r="D193" s="34"/>
      <c r="E193" s="35"/>
      <c r="F193" s="34"/>
      <c r="G193" s="36" t="str">
        <f t="shared" si="2"/>
        <v/>
      </c>
    </row>
    <row r="194" spans="1:7" x14ac:dyDescent="0.25">
      <c r="A194" s="33"/>
      <c r="B194" s="34"/>
      <c r="C194" s="34"/>
      <c r="D194" s="34"/>
      <c r="E194" s="35"/>
      <c r="F194" s="34"/>
      <c r="G194" s="36" t="str">
        <f t="shared" si="2"/>
        <v/>
      </c>
    </row>
    <row r="195" spans="1:7" x14ac:dyDescent="0.25">
      <c r="A195" s="33"/>
      <c r="B195" s="34"/>
      <c r="C195" s="34"/>
      <c r="D195" s="34"/>
      <c r="E195" s="35"/>
      <c r="F195" s="34"/>
      <c r="G195" s="36" t="str">
        <f t="shared" si="2"/>
        <v/>
      </c>
    </row>
    <row r="196" spans="1:7" x14ac:dyDescent="0.25">
      <c r="A196" s="33"/>
      <c r="B196" s="34"/>
      <c r="C196" s="34"/>
      <c r="D196" s="34"/>
      <c r="E196" s="35"/>
      <c r="F196" s="34"/>
      <c r="G196" s="36" t="str">
        <f t="shared" si="2"/>
        <v/>
      </c>
    </row>
    <row r="197" spans="1:7" x14ac:dyDescent="0.25">
      <c r="A197" s="33"/>
      <c r="B197" s="34"/>
      <c r="C197" s="34"/>
      <c r="D197" s="34"/>
      <c r="E197" s="35"/>
      <c r="F197" s="34"/>
      <c r="G197" s="36" t="str">
        <f t="shared" si="2"/>
        <v/>
      </c>
    </row>
    <row r="198" spans="1:7" x14ac:dyDescent="0.25">
      <c r="A198" s="33"/>
      <c r="B198" s="34"/>
      <c r="C198" s="34"/>
      <c r="D198" s="34"/>
      <c r="E198" s="35"/>
      <c r="F198" s="34"/>
      <c r="G198" s="36" t="str">
        <f t="shared" ref="G198:G261" si="3">IF(A198="","",DATE(YEAR(A198),MONTH(A198),1))</f>
        <v/>
      </c>
    </row>
    <row r="199" spans="1:7" x14ac:dyDescent="0.25">
      <c r="A199" s="33"/>
      <c r="B199" s="34"/>
      <c r="C199" s="34"/>
      <c r="D199" s="34"/>
      <c r="E199" s="35"/>
      <c r="F199" s="34"/>
      <c r="G199" s="36" t="str">
        <f t="shared" si="3"/>
        <v/>
      </c>
    </row>
    <row r="200" spans="1:7" x14ac:dyDescent="0.25">
      <c r="A200" s="33"/>
      <c r="B200" s="34"/>
      <c r="C200" s="34"/>
      <c r="D200" s="34"/>
      <c r="E200" s="35"/>
      <c r="F200" s="34"/>
      <c r="G200" s="36" t="str">
        <f t="shared" si="3"/>
        <v/>
      </c>
    </row>
    <row r="201" spans="1:7" x14ac:dyDescent="0.25">
      <c r="A201" s="33"/>
      <c r="B201" s="34"/>
      <c r="C201" s="34"/>
      <c r="D201" s="34"/>
      <c r="E201" s="35"/>
      <c r="F201" s="34"/>
      <c r="G201" s="36" t="str">
        <f t="shared" si="3"/>
        <v/>
      </c>
    </row>
    <row r="202" spans="1:7" x14ac:dyDescent="0.25">
      <c r="A202" s="33"/>
      <c r="B202" s="34"/>
      <c r="C202" s="34"/>
      <c r="D202" s="34"/>
      <c r="E202" s="35"/>
      <c r="F202" s="34"/>
      <c r="G202" s="36" t="str">
        <f t="shared" si="3"/>
        <v/>
      </c>
    </row>
    <row r="203" spans="1:7" x14ac:dyDescent="0.25">
      <c r="A203" s="33"/>
      <c r="B203" s="34"/>
      <c r="C203" s="34"/>
      <c r="D203" s="34"/>
      <c r="E203" s="35"/>
      <c r="F203" s="34"/>
      <c r="G203" s="36" t="str">
        <f t="shared" si="3"/>
        <v/>
      </c>
    </row>
    <row r="204" spans="1:7" x14ac:dyDescent="0.25">
      <c r="A204" s="33"/>
      <c r="B204" s="34"/>
      <c r="C204" s="34"/>
      <c r="D204" s="34"/>
      <c r="E204" s="35"/>
      <c r="F204" s="34"/>
      <c r="G204" s="36" t="str">
        <f t="shared" si="3"/>
        <v/>
      </c>
    </row>
    <row r="205" spans="1:7" x14ac:dyDescent="0.25">
      <c r="A205" s="33"/>
      <c r="B205" s="34"/>
      <c r="C205" s="34"/>
      <c r="D205" s="34"/>
      <c r="E205" s="35"/>
      <c r="F205" s="34"/>
      <c r="G205" s="36" t="str">
        <f t="shared" si="3"/>
        <v/>
      </c>
    </row>
    <row r="206" spans="1:7" x14ac:dyDescent="0.25">
      <c r="A206" s="33"/>
      <c r="B206" s="34"/>
      <c r="C206" s="34"/>
      <c r="D206" s="34"/>
      <c r="E206" s="35"/>
      <c r="F206" s="34"/>
      <c r="G206" s="36" t="str">
        <f t="shared" si="3"/>
        <v/>
      </c>
    </row>
    <row r="207" spans="1:7" x14ac:dyDescent="0.25">
      <c r="A207" s="33"/>
      <c r="B207" s="34"/>
      <c r="C207" s="34"/>
      <c r="D207" s="34"/>
      <c r="E207" s="35"/>
      <c r="F207" s="34"/>
      <c r="G207" s="36" t="str">
        <f t="shared" si="3"/>
        <v/>
      </c>
    </row>
    <row r="208" spans="1:7" x14ac:dyDescent="0.25">
      <c r="A208" s="33"/>
      <c r="B208" s="34"/>
      <c r="C208" s="34"/>
      <c r="D208" s="34"/>
      <c r="E208" s="35"/>
      <c r="F208" s="34"/>
      <c r="G208" s="36" t="str">
        <f t="shared" si="3"/>
        <v/>
      </c>
    </row>
    <row r="209" spans="1:7" x14ac:dyDescent="0.25">
      <c r="A209" s="33"/>
      <c r="B209" s="34"/>
      <c r="C209" s="34"/>
      <c r="D209" s="34"/>
      <c r="E209" s="35"/>
      <c r="F209" s="34"/>
      <c r="G209" s="36" t="str">
        <f t="shared" si="3"/>
        <v/>
      </c>
    </row>
    <row r="210" spans="1:7" x14ac:dyDescent="0.25">
      <c r="A210" s="33"/>
      <c r="B210" s="34"/>
      <c r="C210" s="34"/>
      <c r="D210" s="34"/>
      <c r="E210" s="35"/>
      <c r="F210" s="34"/>
      <c r="G210" s="36" t="str">
        <f t="shared" si="3"/>
        <v/>
      </c>
    </row>
    <row r="211" spans="1:7" x14ac:dyDescent="0.25">
      <c r="A211" s="33"/>
      <c r="B211" s="34"/>
      <c r="C211" s="34"/>
      <c r="D211" s="34"/>
      <c r="E211" s="35"/>
      <c r="F211" s="34"/>
      <c r="G211" s="36" t="str">
        <f t="shared" si="3"/>
        <v/>
      </c>
    </row>
    <row r="212" spans="1:7" x14ac:dyDescent="0.25">
      <c r="A212" s="33"/>
      <c r="B212" s="34"/>
      <c r="C212" s="34"/>
      <c r="D212" s="34"/>
      <c r="E212" s="35"/>
      <c r="F212" s="34"/>
      <c r="G212" s="36" t="str">
        <f t="shared" si="3"/>
        <v/>
      </c>
    </row>
    <row r="213" spans="1:7" x14ac:dyDescent="0.25">
      <c r="A213" s="33"/>
      <c r="B213" s="34"/>
      <c r="C213" s="34"/>
      <c r="D213" s="34"/>
      <c r="E213" s="35"/>
      <c r="F213" s="34"/>
      <c r="G213" s="36" t="str">
        <f t="shared" si="3"/>
        <v/>
      </c>
    </row>
    <row r="214" spans="1:7" x14ac:dyDescent="0.25">
      <c r="A214" s="33"/>
      <c r="B214" s="34"/>
      <c r="C214" s="34"/>
      <c r="D214" s="34"/>
      <c r="E214" s="35"/>
      <c r="F214" s="34"/>
      <c r="G214" s="36" t="str">
        <f t="shared" si="3"/>
        <v/>
      </c>
    </row>
    <row r="215" spans="1:7" x14ac:dyDescent="0.25">
      <c r="A215" s="33"/>
      <c r="B215" s="34"/>
      <c r="C215" s="34"/>
      <c r="D215" s="34"/>
      <c r="E215" s="35"/>
      <c r="F215" s="34"/>
      <c r="G215" s="36" t="str">
        <f t="shared" si="3"/>
        <v/>
      </c>
    </row>
    <row r="216" spans="1:7" x14ac:dyDescent="0.25">
      <c r="A216" s="33"/>
      <c r="B216" s="34"/>
      <c r="C216" s="34"/>
      <c r="D216" s="34"/>
      <c r="E216" s="35"/>
      <c r="F216" s="34"/>
      <c r="G216" s="36" t="str">
        <f t="shared" si="3"/>
        <v/>
      </c>
    </row>
    <row r="217" spans="1:7" x14ac:dyDescent="0.25">
      <c r="A217" s="33"/>
      <c r="B217" s="34"/>
      <c r="C217" s="34"/>
      <c r="D217" s="34"/>
      <c r="E217" s="35"/>
      <c r="F217" s="34"/>
      <c r="G217" s="36" t="str">
        <f t="shared" si="3"/>
        <v/>
      </c>
    </row>
    <row r="218" spans="1:7" x14ac:dyDescent="0.25">
      <c r="A218" s="33"/>
      <c r="B218" s="34"/>
      <c r="C218" s="34"/>
      <c r="D218" s="34"/>
      <c r="E218" s="35"/>
      <c r="F218" s="34"/>
      <c r="G218" s="36" t="str">
        <f t="shared" si="3"/>
        <v/>
      </c>
    </row>
    <row r="219" spans="1:7" x14ac:dyDescent="0.25">
      <c r="A219" s="33"/>
      <c r="B219" s="34"/>
      <c r="C219" s="34"/>
      <c r="D219" s="34"/>
      <c r="E219" s="35"/>
      <c r="F219" s="34"/>
      <c r="G219" s="36" t="str">
        <f t="shared" si="3"/>
        <v/>
      </c>
    </row>
    <row r="220" spans="1:7" x14ac:dyDescent="0.25">
      <c r="A220" s="33"/>
      <c r="B220" s="34"/>
      <c r="C220" s="34"/>
      <c r="D220" s="34"/>
      <c r="E220" s="35"/>
      <c r="F220" s="34"/>
      <c r="G220" s="36" t="str">
        <f t="shared" si="3"/>
        <v/>
      </c>
    </row>
    <row r="221" spans="1:7" x14ac:dyDescent="0.25">
      <c r="A221" s="33"/>
      <c r="B221" s="34"/>
      <c r="C221" s="34"/>
      <c r="D221" s="34"/>
      <c r="E221" s="35"/>
      <c r="F221" s="34"/>
      <c r="G221" s="36" t="str">
        <f t="shared" si="3"/>
        <v/>
      </c>
    </row>
    <row r="222" spans="1:7" x14ac:dyDescent="0.25">
      <c r="A222" s="33"/>
      <c r="B222" s="34"/>
      <c r="C222" s="34"/>
      <c r="D222" s="34"/>
      <c r="E222" s="35"/>
      <c r="F222" s="34"/>
      <c r="G222" s="36" t="str">
        <f t="shared" si="3"/>
        <v/>
      </c>
    </row>
    <row r="223" spans="1:7" x14ac:dyDescent="0.25">
      <c r="A223" s="33"/>
      <c r="B223" s="34"/>
      <c r="C223" s="34"/>
      <c r="D223" s="34"/>
      <c r="E223" s="35"/>
      <c r="F223" s="34"/>
      <c r="G223" s="36" t="str">
        <f t="shared" si="3"/>
        <v/>
      </c>
    </row>
    <row r="224" spans="1:7" x14ac:dyDescent="0.25">
      <c r="A224" s="33"/>
      <c r="B224" s="34"/>
      <c r="C224" s="34"/>
      <c r="D224" s="34"/>
      <c r="E224" s="35"/>
      <c r="F224" s="34"/>
      <c r="G224" s="36" t="str">
        <f t="shared" si="3"/>
        <v/>
      </c>
    </row>
    <row r="225" spans="1:7" x14ac:dyDescent="0.25">
      <c r="A225" s="33"/>
      <c r="B225" s="34"/>
      <c r="C225" s="34"/>
      <c r="D225" s="34"/>
      <c r="E225" s="35"/>
      <c r="F225" s="34"/>
      <c r="G225" s="36" t="str">
        <f t="shared" si="3"/>
        <v/>
      </c>
    </row>
    <row r="226" spans="1:7" x14ac:dyDescent="0.25">
      <c r="A226" s="33"/>
      <c r="B226" s="34"/>
      <c r="C226" s="34"/>
      <c r="D226" s="34"/>
      <c r="E226" s="35"/>
      <c r="F226" s="34"/>
      <c r="G226" s="36" t="str">
        <f t="shared" si="3"/>
        <v/>
      </c>
    </row>
    <row r="227" spans="1:7" x14ac:dyDescent="0.25">
      <c r="A227" s="33"/>
      <c r="B227" s="34"/>
      <c r="C227" s="34"/>
      <c r="D227" s="34"/>
      <c r="E227" s="35"/>
      <c r="F227" s="34"/>
      <c r="G227" s="36" t="str">
        <f t="shared" si="3"/>
        <v/>
      </c>
    </row>
    <row r="228" spans="1:7" x14ac:dyDescent="0.25">
      <c r="A228" s="33"/>
      <c r="B228" s="34"/>
      <c r="C228" s="34"/>
      <c r="D228" s="34"/>
      <c r="E228" s="35"/>
      <c r="F228" s="34"/>
      <c r="G228" s="36" t="str">
        <f t="shared" si="3"/>
        <v/>
      </c>
    </row>
    <row r="229" spans="1:7" x14ac:dyDescent="0.25">
      <c r="A229" s="33"/>
      <c r="B229" s="34"/>
      <c r="C229" s="34"/>
      <c r="D229" s="34"/>
      <c r="E229" s="35"/>
      <c r="F229" s="34"/>
      <c r="G229" s="36" t="str">
        <f t="shared" si="3"/>
        <v/>
      </c>
    </row>
    <row r="230" spans="1:7" x14ac:dyDescent="0.25">
      <c r="A230" s="33"/>
      <c r="B230" s="34"/>
      <c r="C230" s="34"/>
      <c r="D230" s="34"/>
      <c r="E230" s="35"/>
      <c r="F230" s="34"/>
      <c r="G230" s="36" t="str">
        <f t="shared" si="3"/>
        <v/>
      </c>
    </row>
    <row r="231" spans="1:7" x14ac:dyDescent="0.25">
      <c r="A231" s="33"/>
      <c r="B231" s="34"/>
      <c r="C231" s="34"/>
      <c r="D231" s="34"/>
      <c r="E231" s="35"/>
      <c r="F231" s="34"/>
      <c r="G231" s="36" t="str">
        <f t="shared" si="3"/>
        <v/>
      </c>
    </row>
    <row r="232" spans="1:7" x14ac:dyDescent="0.25">
      <c r="A232" s="33"/>
      <c r="B232" s="34"/>
      <c r="C232" s="34"/>
      <c r="D232" s="34"/>
      <c r="E232" s="35"/>
      <c r="F232" s="34"/>
      <c r="G232" s="36" t="str">
        <f t="shared" si="3"/>
        <v/>
      </c>
    </row>
    <row r="233" spans="1:7" x14ac:dyDescent="0.25">
      <c r="A233" s="33"/>
      <c r="B233" s="34"/>
      <c r="C233" s="34"/>
      <c r="D233" s="34"/>
      <c r="E233" s="35"/>
      <c r="F233" s="34"/>
      <c r="G233" s="36" t="str">
        <f t="shared" si="3"/>
        <v/>
      </c>
    </row>
    <row r="234" spans="1:7" x14ac:dyDescent="0.25">
      <c r="A234" s="33"/>
      <c r="B234" s="34"/>
      <c r="C234" s="34"/>
      <c r="D234" s="34"/>
      <c r="E234" s="35"/>
      <c r="F234" s="34"/>
      <c r="G234" s="36" t="str">
        <f t="shared" si="3"/>
        <v/>
      </c>
    </row>
    <row r="235" spans="1:7" x14ac:dyDescent="0.25">
      <c r="A235" s="33"/>
      <c r="B235" s="34"/>
      <c r="C235" s="34"/>
      <c r="D235" s="34"/>
      <c r="E235" s="35"/>
      <c r="F235" s="34"/>
      <c r="G235" s="36" t="str">
        <f t="shared" si="3"/>
        <v/>
      </c>
    </row>
    <row r="236" spans="1:7" x14ac:dyDescent="0.25">
      <c r="A236" s="33"/>
      <c r="B236" s="34"/>
      <c r="C236" s="34"/>
      <c r="D236" s="34"/>
      <c r="E236" s="35"/>
      <c r="F236" s="34"/>
      <c r="G236" s="36" t="str">
        <f t="shared" si="3"/>
        <v/>
      </c>
    </row>
    <row r="237" spans="1:7" x14ac:dyDescent="0.25">
      <c r="A237" s="33"/>
      <c r="B237" s="34"/>
      <c r="C237" s="34"/>
      <c r="D237" s="34"/>
      <c r="E237" s="35"/>
      <c r="F237" s="34"/>
      <c r="G237" s="36" t="str">
        <f t="shared" si="3"/>
        <v/>
      </c>
    </row>
    <row r="238" spans="1:7" x14ac:dyDescent="0.25">
      <c r="A238" s="33"/>
      <c r="B238" s="34"/>
      <c r="C238" s="34"/>
      <c r="D238" s="34"/>
      <c r="E238" s="35"/>
      <c r="F238" s="34"/>
      <c r="G238" s="36" t="str">
        <f t="shared" si="3"/>
        <v/>
      </c>
    </row>
    <row r="239" spans="1:7" x14ac:dyDescent="0.25">
      <c r="A239" s="33"/>
      <c r="B239" s="34"/>
      <c r="C239" s="34"/>
      <c r="D239" s="34"/>
      <c r="E239" s="35"/>
      <c r="F239" s="34"/>
      <c r="G239" s="36" t="str">
        <f t="shared" si="3"/>
        <v/>
      </c>
    </row>
    <row r="240" spans="1:7" x14ac:dyDescent="0.25">
      <c r="A240" s="33"/>
      <c r="B240" s="34"/>
      <c r="C240" s="34"/>
      <c r="D240" s="34"/>
      <c r="E240" s="35"/>
      <c r="F240" s="34"/>
      <c r="G240" s="36" t="str">
        <f t="shared" si="3"/>
        <v/>
      </c>
    </row>
    <row r="241" spans="1:7" x14ac:dyDescent="0.25">
      <c r="A241" s="33"/>
      <c r="B241" s="34"/>
      <c r="C241" s="34"/>
      <c r="D241" s="34"/>
      <c r="E241" s="35"/>
      <c r="F241" s="34"/>
      <c r="G241" s="36" t="str">
        <f t="shared" si="3"/>
        <v/>
      </c>
    </row>
    <row r="242" spans="1:7" x14ac:dyDescent="0.25">
      <c r="A242" s="33"/>
      <c r="B242" s="34"/>
      <c r="C242" s="34"/>
      <c r="D242" s="34"/>
      <c r="E242" s="35"/>
      <c r="F242" s="34"/>
      <c r="G242" s="36" t="str">
        <f t="shared" si="3"/>
        <v/>
      </c>
    </row>
    <row r="243" spans="1:7" x14ac:dyDescent="0.25">
      <c r="A243" s="33"/>
      <c r="B243" s="34"/>
      <c r="C243" s="34"/>
      <c r="D243" s="34"/>
      <c r="E243" s="35"/>
      <c r="F243" s="34"/>
      <c r="G243" s="36" t="str">
        <f t="shared" si="3"/>
        <v/>
      </c>
    </row>
    <row r="244" spans="1:7" x14ac:dyDescent="0.25">
      <c r="A244" s="33"/>
      <c r="B244" s="34"/>
      <c r="C244" s="34"/>
      <c r="D244" s="34"/>
      <c r="E244" s="35"/>
      <c r="F244" s="34"/>
      <c r="G244" s="36" t="str">
        <f t="shared" si="3"/>
        <v/>
      </c>
    </row>
    <row r="245" spans="1:7" x14ac:dyDescent="0.25">
      <c r="A245" s="33"/>
      <c r="B245" s="34"/>
      <c r="C245" s="34"/>
      <c r="D245" s="34"/>
      <c r="E245" s="35"/>
      <c r="F245" s="34"/>
      <c r="G245" s="36" t="str">
        <f t="shared" si="3"/>
        <v/>
      </c>
    </row>
    <row r="246" spans="1:7" x14ac:dyDescent="0.25">
      <c r="A246" s="33"/>
      <c r="B246" s="34"/>
      <c r="C246" s="34"/>
      <c r="D246" s="34"/>
      <c r="E246" s="35"/>
      <c r="F246" s="34"/>
      <c r="G246" s="36" t="str">
        <f t="shared" si="3"/>
        <v/>
      </c>
    </row>
    <row r="247" spans="1:7" x14ac:dyDescent="0.25">
      <c r="A247" s="33"/>
      <c r="B247" s="34"/>
      <c r="C247" s="34"/>
      <c r="D247" s="34"/>
      <c r="E247" s="35"/>
      <c r="F247" s="34"/>
      <c r="G247" s="36" t="str">
        <f t="shared" si="3"/>
        <v/>
      </c>
    </row>
    <row r="248" spans="1:7" x14ac:dyDescent="0.25">
      <c r="A248" s="33"/>
      <c r="B248" s="34"/>
      <c r="C248" s="34"/>
      <c r="D248" s="34"/>
      <c r="E248" s="35"/>
      <c r="F248" s="34"/>
      <c r="G248" s="36" t="str">
        <f t="shared" si="3"/>
        <v/>
      </c>
    </row>
    <row r="249" spans="1:7" x14ac:dyDescent="0.25">
      <c r="A249" s="33"/>
      <c r="B249" s="34"/>
      <c r="C249" s="34"/>
      <c r="D249" s="34"/>
      <c r="E249" s="35"/>
      <c r="F249" s="34"/>
      <c r="G249" s="36" t="str">
        <f t="shared" si="3"/>
        <v/>
      </c>
    </row>
    <row r="250" spans="1:7" x14ac:dyDescent="0.25">
      <c r="A250" s="33"/>
      <c r="B250" s="34"/>
      <c r="C250" s="34"/>
      <c r="D250" s="34"/>
      <c r="E250" s="35"/>
      <c r="F250" s="34"/>
      <c r="G250" s="36" t="str">
        <f t="shared" si="3"/>
        <v/>
      </c>
    </row>
    <row r="251" spans="1:7" x14ac:dyDescent="0.25">
      <c r="A251" s="33"/>
      <c r="B251" s="34"/>
      <c r="C251" s="34"/>
      <c r="D251" s="34"/>
      <c r="E251" s="35"/>
      <c r="F251" s="34"/>
      <c r="G251" s="36" t="str">
        <f t="shared" si="3"/>
        <v/>
      </c>
    </row>
    <row r="252" spans="1:7" x14ac:dyDescent="0.25">
      <c r="A252" s="33"/>
      <c r="B252" s="34"/>
      <c r="C252" s="34"/>
      <c r="D252" s="34"/>
      <c r="E252" s="35"/>
      <c r="F252" s="34"/>
      <c r="G252" s="36" t="str">
        <f t="shared" si="3"/>
        <v/>
      </c>
    </row>
    <row r="253" spans="1:7" x14ac:dyDescent="0.25">
      <c r="A253" s="33"/>
      <c r="B253" s="34"/>
      <c r="C253" s="34"/>
      <c r="D253" s="34"/>
      <c r="E253" s="35"/>
      <c r="F253" s="34"/>
      <c r="G253" s="36" t="str">
        <f t="shared" si="3"/>
        <v/>
      </c>
    </row>
    <row r="254" spans="1:7" x14ac:dyDescent="0.25">
      <c r="A254" s="33"/>
      <c r="B254" s="34"/>
      <c r="C254" s="34"/>
      <c r="D254" s="34"/>
      <c r="E254" s="35"/>
      <c r="F254" s="34"/>
      <c r="G254" s="36" t="str">
        <f t="shared" si="3"/>
        <v/>
      </c>
    </row>
    <row r="255" spans="1:7" x14ac:dyDescent="0.25">
      <c r="A255" s="33"/>
      <c r="B255" s="34"/>
      <c r="C255" s="34"/>
      <c r="D255" s="34"/>
      <c r="E255" s="35"/>
      <c r="F255" s="34"/>
      <c r="G255" s="36" t="str">
        <f t="shared" si="3"/>
        <v/>
      </c>
    </row>
    <row r="256" spans="1:7" x14ac:dyDescent="0.25">
      <c r="A256" s="33"/>
      <c r="B256" s="34"/>
      <c r="C256" s="34"/>
      <c r="D256" s="34"/>
      <c r="E256" s="35"/>
      <c r="F256" s="34"/>
      <c r="G256" s="36" t="str">
        <f t="shared" si="3"/>
        <v/>
      </c>
    </row>
    <row r="257" spans="1:7" x14ac:dyDescent="0.25">
      <c r="A257" s="33"/>
      <c r="B257" s="34"/>
      <c r="C257" s="34"/>
      <c r="D257" s="34"/>
      <c r="E257" s="35"/>
      <c r="F257" s="34"/>
      <c r="G257" s="36" t="str">
        <f t="shared" si="3"/>
        <v/>
      </c>
    </row>
    <row r="258" spans="1:7" x14ac:dyDescent="0.25">
      <c r="A258" s="33"/>
      <c r="B258" s="34"/>
      <c r="C258" s="34"/>
      <c r="D258" s="34"/>
      <c r="E258" s="35"/>
      <c r="F258" s="34"/>
      <c r="G258" s="36" t="str">
        <f t="shared" si="3"/>
        <v/>
      </c>
    </row>
    <row r="259" spans="1:7" x14ac:dyDescent="0.25">
      <c r="A259" s="33"/>
      <c r="B259" s="34"/>
      <c r="C259" s="34"/>
      <c r="D259" s="34"/>
      <c r="E259" s="35"/>
      <c r="F259" s="34"/>
      <c r="G259" s="36" t="str">
        <f t="shared" si="3"/>
        <v/>
      </c>
    </row>
    <row r="260" spans="1:7" x14ac:dyDescent="0.25">
      <c r="A260" s="33"/>
      <c r="B260" s="34"/>
      <c r="C260" s="34"/>
      <c r="D260" s="34"/>
      <c r="E260" s="35"/>
      <c r="F260" s="34"/>
      <c r="G260" s="36" t="str">
        <f t="shared" si="3"/>
        <v/>
      </c>
    </row>
    <row r="261" spans="1:7" x14ac:dyDescent="0.25">
      <c r="A261" s="33"/>
      <c r="B261" s="34"/>
      <c r="C261" s="34"/>
      <c r="D261" s="34"/>
      <c r="E261" s="35"/>
      <c r="F261" s="34"/>
      <c r="G261" s="36" t="str">
        <f t="shared" si="3"/>
        <v/>
      </c>
    </row>
    <row r="262" spans="1:7" x14ac:dyDescent="0.25">
      <c r="A262" s="33"/>
      <c r="B262" s="34"/>
      <c r="C262" s="34"/>
      <c r="D262" s="34"/>
      <c r="E262" s="35"/>
      <c r="F262" s="34"/>
      <c r="G262" s="36" t="str">
        <f t="shared" ref="G262:G325" si="4">IF(A262="","",DATE(YEAR(A262),MONTH(A262),1))</f>
        <v/>
      </c>
    </row>
    <row r="263" spans="1:7" x14ac:dyDescent="0.25">
      <c r="A263" s="33"/>
      <c r="B263" s="34"/>
      <c r="C263" s="34"/>
      <c r="D263" s="34"/>
      <c r="E263" s="35"/>
      <c r="F263" s="34"/>
      <c r="G263" s="36" t="str">
        <f t="shared" si="4"/>
        <v/>
      </c>
    </row>
    <row r="264" spans="1:7" x14ac:dyDescent="0.25">
      <c r="A264" s="33"/>
      <c r="B264" s="34"/>
      <c r="C264" s="34"/>
      <c r="D264" s="34"/>
      <c r="E264" s="35"/>
      <c r="F264" s="34"/>
      <c r="G264" s="36" t="str">
        <f t="shared" si="4"/>
        <v/>
      </c>
    </row>
    <row r="265" spans="1:7" x14ac:dyDescent="0.25">
      <c r="A265" s="33"/>
      <c r="B265" s="34"/>
      <c r="C265" s="34"/>
      <c r="D265" s="34"/>
      <c r="E265" s="35"/>
      <c r="F265" s="34"/>
      <c r="G265" s="36" t="str">
        <f t="shared" si="4"/>
        <v/>
      </c>
    </row>
    <row r="266" spans="1:7" x14ac:dyDescent="0.25">
      <c r="A266" s="33"/>
      <c r="B266" s="34"/>
      <c r="C266" s="34"/>
      <c r="D266" s="34"/>
      <c r="E266" s="35"/>
      <c r="F266" s="34"/>
      <c r="G266" s="36" t="str">
        <f t="shared" si="4"/>
        <v/>
      </c>
    </row>
    <row r="267" spans="1:7" x14ac:dyDescent="0.25">
      <c r="A267" s="33"/>
      <c r="B267" s="34"/>
      <c r="C267" s="34"/>
      <c r="D267" s="34"/>
      <c r="E267" s="35"/>
      <c r="F267" s="34"/>
      <c r="G267" s="36" t="str">
        <f t="shared" si="4"/>
        <v/>
      </c>
    </row>
    <row r="268" spans="1:7" x14ac:dyDescent="0.25">
      <c r="A268" s="33"/>
      <c r="B268" s="34"/>
      <c r="C268" s="34"/>
      <c r="D268" s="34"/>
      <c r="E268" s="35"/>
      <c r="F268" s="34"/>
      <c r="G268" s="36" t="str">
        <f t="shared" si="4"/>
        <v/>
      </c>
    </row>
    <row r="269" spans="1:7" x14ac:dyDescent="0.25">
      <c r="A269" s="33"/>
      <c r="B269" s="34"/>
      <c r="C269" s="34"/>
      <c r="D269" s="34"/>
      <c r="E269" s="35"/>
      <c r="F269" s="34"/>
      <c r="G269" s="36" t="str">
        <f t="shared" si="4"/>
        <v/>
      </c>
    </row>
    <row r="270" spans="1:7" x14ac:dyDescent="0.25">
      <c r="A270" s="33"/>
      <c r="B270" s="34"/>
      <c r="C270" s="34"/>
      <c r="D270" s="34"/>
      <c r="E270" s="35"/>
      <c r="F270" s="34"/>
      <c r="G270" s="36" t="str">
        <f t="shared" si="4"/>
        <v/>
      </c>
    </row>
    <row r="271" spans="1:7" x14ac:dyDescent="0.25">
      <c r="A271" s="33"/>
      <c r="B271" s="34"/>
      <c r="C271" s="34"/>
      <c r="D271" s="34"/>
      <c r="E271" s="35"/>
      <c r="F271" s="34"/>
      <c r="G271" s="36" t="str">
        <f t="shared" si="4"/>
        <v/>
      </c>
    </row>
    <row r="272" spans="1:7" x14ac:dyDescent="0.25">
      <c r="A272" s="33"/>
      <c r="B272" s="34"/>
      <c r="C272" s="34"/>
      <c r="D272" s="34"/>
      <c r="E272" s="35"/>
      <c r="F272" s="34"/>
      <c r="G272" s="36" t="str">
        <f t="shared" si="4"/>
        <v/>
      </c>
    </row>
    <row r="273" spans="1:7" x14ac:dyDescent="0.25">
      <c r="A273" s="33"/>
      <c r="B273" s="34"/>
      <c r="C273" s="34"/>
      <c r="D273" s="34"/>
      <c r="E273" s="35"/>
      <c r="F273" s="34"/>
      <c r="G273" s="36" t="str">
        <f t="shared" si="4"/>
        <v/>
      </c>
    </row>
    <row r="274" spans="1:7" x14ac:dyDescent="0.25">
      <c r="A274" s="33"/>
      <c r="B274" s="34"/>
      <c r="C274" s="34"/>
      <c r="D274" s="34"/>
      <c r="E274" s="35"/>
      <c r="F274" s="34"/>
      <c r="G274" s="36" t="str">
        <f t="shared" si="4"/>
        <v/>
      </c>
    </row>
    <row r="275" spans="1:7" x14ac:dyDescent="0.25">
      <c r="A275" s="33"/>
      <c r="B275" s="34"/>
      <c r="C275" s="34"/>
      <c r="D275" s="34"/>
      <c r="E275" s="35"/>
      <c r="F275" s="34"/>
      <c r="G275" s="36" t="str">
        <f t="shared" si="4"/>
        <v/>
      </c>
    </row>
    <row r="276" spans="1:7" x14ac:dyDescent="0.25">
      <c r="A276" s="33"/>
      <c r="B276" s="34"/>
      <c r="C276" s="34"/>
      <c r="D276" s="34"/>
      <c r="E276" s="35"/>
      <c r="F276" s="34"/>
      <c r="G276" s="36" t="str">
        <f t="shared" si="4"/>
        <v/>
      </c>
    </row>
    <row r="277" spans="1:7" x14ac:dyDescent="0.25">
      <c r="A277" s="33"/>
      <c r="B277" s="34"/>
      <c r="C277" s="34"/>
      <c r="D277" s="34"/>
      <c r="E277" s="35"/>
      <c r="F277" s="34"/>
      <c r="G277" s="36" t="str">
        <f t="shared" si="4"/>
        <v/>
      </c>
    </row>
    <row r="278" spans="1:7" x14ac:dyDescent="0.25">
      <c r="A278" s="33"/>
      <c r="B278" s="34"/>
      <c r="C278" s="34"/>
      <c r="D278" s="34"/>
      <c r="E278" s="35"/>
      <c r="F278" s="34"/>
      <c r="G278" s="36" t="str">
        <f t="shared" si="4"/>
        <v/>
      </c>
    </row>
    <row r="279" spans="1:7" x14ac:dyDescent="0.25">
      <c r="A279" s="33"/>
      <c r="B279" s="34"/>
      <c r="C279" s="34"/>
      <c r="D279" s="34"/>
      <c r="E279" s="35"/>
      <c r="F279" s="34"/>
      <c r="G279" s="36" t="str">
        <f t="shared" si="4"/>
        <v/>
      </c>
    </row>
    <row r="280" spans="1:7" x14ac:dyDescent="0.25">
      <c r="A280" s="33"/>
      <c r="B280" s="34"/>
      <c r="C280" s="34"/>
      <c r="D280" s="34"/>
      <c r="E280" s="35"/>
      <c r="F280" s="34"/>
      <c r="G280" s="36" t="str">
        <f t="shared" si="4"/>
        <v/>
      </c>
    </row>
    <row r="281" spans="1:7" x14ac:dyDescent="0.25">
      <c r="A281" s="33"/>
      <c r="B281" s="34"/>
      <c r="C281" s="34"/>
      <c r="D281" s="34"/>
      <c r="E281" s="35"/>
      <c r="F281" s="34"/>
      <c r="G281" s="36" t="str">
        <f t="shared" si="4"/>
        <v/>
      </c>
    </row>
    <row r="282" spans="1:7" x14ac:dyDescent="0.25">
      <c r="A282" s="33"/>
      <c r="B282" s="34"/>
      <c r="C282" s="34"/>
      <c r="D282" s="34"/>
      <c r="E282" s="35"/>
      <c r="F282" s="34"/>
      <c r="G282" s="36" t="str">
        <f t="shared" si="4"/>
        <v/>
      </c>
    </row>
    <row r="283" spans="1:7" x14ac:dyDescent="0.25">
      <c r="A283" s="33"/>
      <c r="B283" s="34"/>
      <c r="C283" s="34"/>
      <c r="D283" s="34"/>
      <c r="E283" s="35"/>
      <c r="F283" s="34"/>
      <c r="G283" s="36" t="str">
        <f t="shared" si="4"/>
        <v/>
      </c>
    </row>
    <row r="284" spans="1:7" x14ac:dyDescent="0.25">
      <c r="A284" s="33"/>
      <c r="B284" s="34"/>
      <c r="C284" s="34"/>
      <c r="D284" s="34"/>
      <c r="E284" s="35"/>
      <c r="F284" s="34"/>
      <c r="G284" s="36" t="str">
        <f t="shared" si="4"/>
        <v/>
      </c>
    </row>
    <row r="285" spans="1:7" x14ac:dyDescent="0.25">
      <c r="A285" s="33"/>
      <c r="B285" s="34"/>
      <c r="C285" s="34"/>
      <c r="D285" s="34"/>
      <c r="E285" s="35"/>
      <c r="F285" s="34"/>
      <c r="G285" s="36" t="str">
        <f t="shared" si="4"/>
        <v/>
      </c>
    </row>
    <row r="286" spans="1:7" x14ac:dyDescent="0.25">
      <c r="A286" s="33"/>
      <c r="B286" s="34"/>
      <c r="C286" s="34"/>
      <c r="D286" s="34"/>
      <c r="E286" s="35"/>
      <c r="F286" s="34"/>
      <c r="G286" s="36" t="str">
        <f t="shared" si="4"/>
        <v/>
      </c>
    </row>
    <row r="287" spans="1:7" x14ac:dyDescent="0.25">
      <c r="A287" s="33"/>
      <c r="B287" s="34"/>
      <c r="C287" s="34"/>
      <c r="D287" s="34"/>
      <c r="E287" s="35"/>
      <c r="F287" s="34"/>
      <c r="G287" s="36" t="str">
        <f t="shared" si="4"/>
        <v/>
      </c>
    </row>
    <row r="288" spans="1:7" x14ac:dyDescent="0.25">
      <c r="A288" s="33"/>
      <c r="B288" s="34"/>
      <c r="C288" s="34"/>
      <c r="D288" s="34"/>
      <c r="E288" s="35"/>
      <c r="F288" s="34"/>
      <c r="G288" s="36" t="str">
        <f t="shared" si="4"/>
        <v/>
      </c>
    </row>
    <row r="289" spans="1:7" x14ac:dyDescent="0.25">
      <c r="A289" s="33"/>
      <c r="B289" s="34"/>
      <c r="C289" s="34"/>
      <c r="D289" s="34"/>
      <c r="E289" s="35"/>
      <c r="F289" s="34"/>
      <c r="G289" s="36" t="str">
        <f t="shared" si="4"/>
        <v/>
      </c>
    </row>
    <row r="290" spans="1:7" x14ac:dyDescent="0.25">
      <c r="A290" s="33"/>
      <c r="B290" s="34"/>
      <c r="C290" s="34"/>
      <c r="D290" s="34"/>
      <c r="E290" s="35"/>
      <c r="F290" s="34"/>
      <c r="G290" s="36" t="str">
        <f t="shared" si="4"/>
        <v/>
      </c>
    </row>
    <row r="291" spans="1:7" x14ac:dyDescent="0.25">
      <c r="A291" s="33"/>
      <c r="B291" s="34"/>
      <c r="C291" s="34"/>
      <c r="D291" s="34"/>
      <c r="E291" s="35"/>
      <c r="F291" s="34"/>
      <c r="G291" s="36" t="str">
        <f t="shared" si="4"/>
        <v/>
      </c>
    </row>
    <row r="292" spans="1:7" x14ac:dyDescent="0.25">
      <c r="A292" s="33"/>
      <c r="B292" s="34"/>
      <c r="C292" s="34"/>
      <c r="D292" s="34"/>
      <c r="E292" s="35"/>
      <c r="F292" s="34"/>
      <c r="G292" s="36" t="str">
        <f t="shared" si="4"/>
        <v/>
      </c>
    </row>
    <row r="293" spans="1:7" x14ac:dyDescent="0.25">
      <c r="A293" s="33"/>
      <c r="B293" s="34"/>
      <c r="C293" s="34"/>
      <c r="D293" s="34"/>
      <c r="E293" s="35"/>
      <c r="F293" s="34"/>
      <c r="G293" s="36" t="str">
        <f t="shared" si="4"/>
        <v/>
      </c>
    </row>
    <row r="294" spans="1:7" x14ac:dyDescent="0.25">
      <c r="A294" s="33"/>
      <c r="B294" s="34"/>
      <c r="C294" s="34"/>
      <c r="D294" s="34"/>
      <c r="E294" s="35"/>
      <c r="F294" s="34"/>
      <c r="G294" s="36" t="str">
        <f t="shared" si="4"/>
        <v/>
      </c>
    </row>
    <row r="295" spans="1:7" x14ac:dyDescent="0.25">
      <c r="A295" s="33"/>
      <c r="B295" s="34"/>
      <c r="C295" s="34"/>
      <c r="D295" s="34"/>
      <c r="E295" s="35"/>
      <c r="F295" s="34"/>
      <c r="G295" s="36" t="str">
        <f t="shared" si="4"/>
        <v/>
      </c>
    </row>
    <row r="296" spans="1:7" x14ac:dyDescent="0.25">
      <c r="A296" s="33"/>
      <c r="B296" s="34"/>
      <c r="C296" s="34"/>
      <c r="D296" s="34"/>
      <c r="E296" s="35"/>
      <c r="F296" s="34"/>
      <c r="G296" s="36" t="str">
        <f t="shared" si="4"/>
        <v/>
      </c>
    </row>
    <row r="297" spans="1:7" x14ac:dyDescent="0.25">
      <c r="A297" s="33"/>
      <c r="B297" s="34"/>
      <c r="C297" s="34"/>
      <c r="D297" s="34"/>
      <c r="E297" s="35"/>
      <c r="F297" s="34"/>
      <c r="G297" s="36" t="str">
        <f t="shared" si="4"/>
        <v/>
      </c>
    </row>
    <row r="298" spans="1:7" x14ac:dyDescent="0.25">
      <c r="A298" s="33"/>
      <c r="B298" s="34"/>
      <c r="C298" s="34"/>
      <c r="D298" s="34"/>
      <c r="E298" s="35"/>
      <c r="F298" s="34"/>
      <c r="G298" s="36" t="str">
        <f t="shared" si="4"/>
        <v/>
      </c>
    </row>
    <row r="299" spans="1:7" x14ac:dyDescent="0.25">
      <c r="A299" s="33"/>
      <c r="B299" s="34"/>
      <c r="C299" s="34"/>
      <c r="D299" s="34"/>
      <c r="E299" s="35"/>
      <c r="F299" s="34"/>
      <c r="G299" s="36" t="str">
        <f t="shared" si="4"/>
        <v/>
      </c>
    </row>
    <row r="300" spans="1:7" x14ac:dyDescent="0.25">
      <c r="A300" s="33"/>
      <c r="B300" s="34"/>
      <c r="C300" s="34"/>
      <c r="D300" s="34"/>
      <c r="E300" s="35"/>
      <c r="F300" s="34"/>
      <c r="G300" s="36" t="str">
        <f t="shared" si="4"/>
        <v/>
      </c>
    </row>
    <row r="301" spans="1:7" x14ac:dyDescent="0.25">
      <c r="A301" s="33"/>
      <c r="B301" s="34"/>
      <c r="C301" s="34"/>
      <c r="D301" s="34"/>
      <c r="E301" s="35"/>
      <c r="F301" s="34"/>
      <c r="G301" s="36" t="str">
        <f t="shared" si="4"/>
        <v/>
      </c>
    </row>
    <row r="302" spans="1:7" x14ac:dyDescent="0.25">
      <c r="A302" s="33"/>
      <c r="B302" s="34"/>
      <c r="C302" s="34"/>
      <c r="D302" s="34"/>
      <c r="E302" s="35"/>
      <c r="F302" s="34"/>
      <c r="G302" s="36" t="str">
        <f t="shared" si="4"/>
        <v/>
      </c>
    </row>
    <row r="303" spans="1:7" x14ac:dyDescent="0.25">
      <c r="A303" s="33"/>
      <c r="B303" s="34"/>
      <c r="C303" s="34"/>
      <c r="D303" s="34"/>
      <c r="E303" s="35"/>
      <c r="F303" s="34"/>
      <c r="G303" s="36" t="str">
        <f t="shared" si="4"/>
        <v/>
      </c>
    </row>
    <row r="304" spans="1:7" x14ac:dyDescent="0.25">
      <c r="A304" s="33"/>
      <c r="B304" s="34"/>
      <c r="C304" s="34"/>
      <c r="D304" s="34"/>
      <c r="E304" s="35"/>
      <c r="F304" s="34"/>
      <c r="G304" s="36" t="str">
        <f t="shared" si="4"/>
        <v/>
      </c>
    </row>
    <row r="305" spans="1:7" x14ac:dyDescent="0.25">
      <c r="A305" s="33"/>
      <c r="B305" s="34"/>
      <c r="C305" s="34"/>
      <c r="D305" s="34"/>
      <c r="E305" s="35"/>
      <c r="F305" s="34"/>
      <c r="G305" s="36" t="str">
        <f t="shared" si="4"/>
        <v/>
      </c>
    </row>
    <row r="306" spans="1:7" x14ac:dyDescent="0.25">
      <c r="A306" s="33"/>
      <c r="B306" s="34"/>
      <c r="C306" s="34"/>
      <c r="D306" s="34"/>
      <c r="E306" s="35"/>
      <c r="F306" s="34"/>
      <c r="G306" s="36" t="str">
        <f t="shared" si="4"/>
        <v/>
      </c>
    </row>
    <row r="307" spans="1:7" x14ac:dyDescent="0.25">
      <c r="A307" s="33"/>
      <c r="B307" s="34"/>
      <c r="C307" s="34"/>
      <c r="D307" s="34"/>
      <c r="E307" s="35"/>
      <c r="F307" s="34"/>
      <c r="G307" s="36" t="str">
        <f t="shared" si="4"/>
        <v/>
      </c>
    </row>
    <row r="308" spans="1:7" x14ac:dyDescent="0.25">
      <c r="A308" s="33"/>
      <c r="B308" s="34"/>
      <c r="C308" s="34"/>
      <c r="D308" s="34"/>
      <c r="E308" s="35"/>
      <c r="F308" s="34"/>
      <c r="G308" s="36" t="str">
        <f t="shared" si="4"/>
        <v/>
      </c>
    </row>
    <row r="309" spans="1:7" x14ac:dyDescent="0.25">
      <c r="A309" s="33"/>
      <c r="B309" s="34"/>
      <c r="C309" s="34"/>
      <c r="D309" s="34"/>
      <c r="E309" s="35"/>
      <c r="F309" s="34"/>
      <c r="G309" s="36" t="str">
        <f t="shared" si="4"/>
        <v/>
      </c>
    </row>
    <row r="310" spans="1:7" x14ac:dyDescent="0.25">
      <c r="A310" s="33"/>
      <c r="B310" s="34"/>
      <c r="C310" s="34"/>
      <c r="D310" s="34"/>
      <c r="E310" s="35"/>
      <c r="F310" s="34"/>
      <c r="G310" s="36" t="str">
        <f t="shared" si="4"/>
        <v/>
      </c>
    </row>
    <row r="311" spans="1:7" x14ac:dyDescent="0.25">
      <c r="A311" s="33"/>
      <c r="B311" s="34"/>
      <c r="C311" s="34"/>
      <c r="D311" s="34"/>
      <c r="E311" s="35"/>
      <c r="F311" s="34"/>
      <c r="G311" s="36" t="str">
        <f t="shared" si="4"/>
        <v/>
      </c>
    </row>
    <row r="312" spans="1:7" x14ac:dyDescent="0.25">
      <c r="A312" s="33"/>
      <c r="B312" s="34"/>
      <c r="C312" s="34"/>
      <c r="D312" s="34"/>
      <c r="E312" s="35"/>
      <c r="F312" s="34"/>
      <c r="G312" s="36" t="str">
        <f t="shared" si="4"/>
        <v/>
      </c>
    </row>
    <row r="313" spans="1:7" x14ac:dyDescent="0.25">
      <c r="A313" s="33"/>
      <c r="B313" s="34"/>
      <c r="C313" s="34"/>
      <c r="D313" s="34"/>
      <c r="E313" s="35"/>
      <c r="F313" s="34"/>
      <c r="G313" s="36" t="str">
        <f t="shared" si="4"/>
        <v/>
      </c>
    </row>
    <row r="314" spans="1:7" x14ac:dyDescent="0.25">
      <c r="A314" s="33"/>
      <c r="B314" s="34"/>
      <c r="C314" s="34"/>
      <c r="D314" s="34"/>
      <c r="E314" s="35"/>
      <c r="F314" s="34"/>
      <c r="G314" s="36" t="str">
        <f t="shared" si="4"/>
        <v/>
      </c>
    </row>
    <row r="315" spans="1:7" x14ac:dyDescent="0.25">
      <c r="A315" s="33"/>
      <c r="B315" s="34"/>
      <c r="C315" s="34"/>
      <c r="D315" s="34"/>
      <c r="E315" s="35"/>
      <c r="F315" s="34"/>
      <c r="G315" s="36" t="str">
        <f t="shared" si="4"/>
        <v/>
      </c>
    </row>
    <row r="316" spans="1:7" x14ac:dyDescent="0.25">
      <c r="A316" s="33"/>
      <c r="B316" s="34"/>
      <c r="C316" s="34"/>
      <c r="D316" s="34"/>
      <c r="E316" s="35"/>
      <c r="F316" s="34"/>
      <c r="G316" s="36" t="str">
        <f t="shared" si="4"/>
        <v/>
      </c>
    </row>
    <row r="317" spans="1:7" x14ac:dyDescent="0.25">
      <c r="A317" s="33"/>
      <c r="B317" s="34"/>
      <c r="C317" s="34"/>
      <c r="D317" s="34"/>
      <c r="E317" s="35"/>
      <c r="F317" s="34"/>
      <c r="G317" s="36" t="str">
        <f t="shared" si="4"/>
        <v/>
      </c>
    </row>
    <row r="318" spans="1:7" x14ac:dyDescent="0.25">
      <c r="A318" s="33"/>
      <c r="B318" s="34"/>
      <c r="C318" s="34"/>
      <c r="D318" s="34"/>
      <c r="E318" s="35"/>
      <c r="F318" s="34"/>
      <c r="G318" s="36" t="str">
        <f t="shared" si="4"/>
        <v/>
      </c>
    </row>
    <row r="319" spans="1:7" x14ac:dyDescent="0.25">
      <c r="A319" s="33"/>
      <c r="B319" s="34"/>
      <c r="C319" s="34"/>
      <c r="D319" s="34"/>
      <c r="E319" s="35"/>
      <c r="F319" s="34"/>
      <c r="G319" s="36" t="str">
        <f t="shared" si="4"/>
        <v/>
      </c>
    </row>
    <row r="320" spans="1:7" x14ac:dyDescent="0.25">
      <c r="A320" s="33"/>
      <c r="B320" s="34"/>
      <c r="C320" s="34"/>
      <c r="D320" s="34"/>
      <c r="E320" s="35"/>
      <c r="F320" s="34"/>
      <c r="G320" s="36" t="str">
        <f t="shared" si="4"/>
        <v/>
      </c>
    </row>
    <row r="321" spans="1:7" x14ac:dyDescent="0.25">
      <c r="A321" s="33"/>
      <c r="B321" s="34"/>
      <c r="C321" s="34"/>
      <c r="D321" s="34"/>
      <c r="E321" s="35"/>
      <c r="F321" s="34"/>
      <c r="G321" s="36" t="str">
        <f t="shared" si="4"/>
        <v/>
      </c>
    </row>
    <row r="322" spans="1:7" x14ac:dyDescent="0.25">
      <c r="A322" s="33"/>
      <c r="B322" s="34"/>
      <c r="C322" s="34"/>
      <c r="D322" s="34"/>
      <c r="E322" s="35"/>
      <c r="F322" s="34"/>
      <c r="G322" s="36" t="str">
        <f t="shared" si="4"/>
        <v/>
      </c>
    </row>
    <row r="323" spans="1:7" x14ac:dyDescent="0.25">
      <c r="A323" s="33"/>
      <c r="B323" s="34"/>
      <c r="C323" s="34"/>
      <c r="D323" s="34"/>
      <c r="E323" s="35"/>
      <c r="F323" s="34"/>
      <c r="G323" s="36" t="str">
        <f t="shared" si="4"/>
        <v/>
      </c>
    </row>
    <row r="324" spans="1:7" x14ac:dyDescent="0.25">
      <c r="A324" s="33"/>
      <c r="B324" s="34"/>
      <c r="C324" s="34"/>
      <c r="D324" s="34"/>
      <c r="E324" s="35"/>
      <c r="F324" s="34"/>
      <c r="G324" s="36" t="str">
        <f t="shared" si="4"/>
        <v/>
      </c>
    </row>
    <row r="325" spans="1:7" x14ac:dyDescent="0.25">
      <c r="A325" s="33"/>
      <c r="B325" s="34"/>
      <c r="C325" s="34"/>
      <c r="D325" s="34"/>
      <c r="E325" s="35"/>
      <c r="F325" s="34"/>
      <c r="G325" s="36" t="str">
        <f t="shared" si="4"/>
        <v/>
      </c>
    </row>
    <row r="326" spans="1:7" x14ac:dyDescent="0.25">
      <c r="A326" s="33"/>
      <c r="B326" s="34"/>
      <c r="C326" s="34"/>
      <c r="D326" s="34"/>
      <c r="E326" s="35"/>
      <c r="F326" s="34"/>
      <c r="G326" s="36" t="str">
        <f t="shared" ref="G326:G389" si="5">IF(A326="","",DATE(YEAR(A326),MONTH(A326),1))</f>
        <v/>
      </c>
    </row>
    <row r="327" spans="1:7" x14ac:dyDescent="0.25">
      <c r="A327" s="33"/>
      <c r="B327" s="34"/>
      <c r="C327" s="34"/>
      <c r="D327" s="34"/>
      <c r="E327" s="35"/>
      <c r="F327" s="34"/>
      <c r="G327" s="36" t="str">
        <f t="shared" si="5"/>
        <v/>
      </c>
    </row>
    <row r="328" spans="1:7" x14ac:dyDescent="0.25">
      <c r="A328" s="33"/>
      <c r="B328" s="34"/>
      <c r="C328" s="34"/>
      <c r="D328" s="34"/>
      <c r="E328" s="35"/>
      <c r="F328" s="34"/>
      <c r="G328" s="36" t="str">
        <f t="shared" si="5"/>
        <v/>
      </c>
    </row>
    <row r="329" spans="1:7" x14ac:dyDescent="0.25">
      <c r="A329" s="33"/>
      <c r="B329" s="34"/>
      <c r="C329" s="34"/>
      <c r="D329" s="34"/>
      <c r="E329" s="35"/>
      <c r="F329" s="34"/>
      <c r="G329" s="36" t="str">
        <f t="shared" si="5"/>
        <v/>
      </c>
    </row>
    <row r="330" spans="1:7" x14ac:dyDescent="0.25">
      <c r="A330" s="33"/>
      <c r="B330" s="34"/>
      <c r="C330" s="34"/>
      <c r="D330" s="34"/>
      <c r="E330" s="35"/>
      <c r="F330" s="34"/>
      <c r="G330" s="36" t="str">
        <f t="shared" si="5"/>
        <v/>
      </c>
    </row>
    <row r="331" spans="1:7" x14ac:dyDescent="0.25">
      <c r="A331" s="33"/>
      <c r="B331" s="34"/>
      <c r="C331" s="34"/>
      <c r="D331" s="34"/>
      <c r="E331" s="35"/>
      <c r="F331" s="34"/>
      <c r="G331" s="36" t="str">
        <f t="shared" si="5"/>
        <v/>
      </c>
    </row>
    <row r="332" spans="1:7" x14ac:dyDescent="0.25">
      <c r="A332" s="33"/>
      <c r="B332" s="34"/>
      <c r="C332" s="34"/>
      <c r="D332" s="34"/>
      <c r="E332" s="35"/>
      <c r="F332" s="34"/>
      <c r="G332" s="36" t="str">
        <f t="shared" si="5"/>
        <v/>
      </c>
    </row>
    <row r="333" spans="1:7" x14ac:dyDescent="0.25">
      <c r="A333" s="33"/>
      <c r="B333" s="34"/>
      <c r="C333" s="34"/>
      <c r="D333" s="34"/>
      <c r="E333" s="35"/>
      <c r="F333" s="34"/>
      <c r="G333" s="36" t="str">
        <f t="shared" si="5"/>
        <v/>
      </c>
    </row>
    <row r="334" spans="1:7" x14ac:dyDescent="0.25">
      <c r="A334" s="33"/>
      <c r="B334" s="34"/>
      <c r="C334" s="34"/>
      <c r="D334" s="34"/>
      <c r="E334" s="35"/>
      <c r="F334" s="34"/>
      <c r="G334" s="36" t="str">
        <f t="shared" si="5"/>
        <v/>
      </c>
    </row>
    <row r="335" spans="1:7" x14ac:dyDescent="0.25">
      <c r="A335" s="33"/>
      <c r="B335" s="34"/>
      <c r="C335" s="34"/>
      <c r="D335" s="34"/>
      <c r="E335" s="35"/>
      <c r="F335" s="34"/>
      <c r="G335" s="36" t="str">
        <f t="shared" si="5"/>
        <v/>
      </c>
    </row>
    <row r="336" spans="1:7" x14ac:dyDescent="0.25">
      <c r="A336" s="33"/>
      <c r="B336" s="34"/>
      <c r="C336" s="34"/>
      <c r="D336" s="34"/>
      <c r="E336" s="35"/>
      <c r="F336" s="34"/>
      <c r="G336" s="36" t="str">
        <f t="shared" si="5"/>
        <v/>
      </c>
    </row>
    <row r="337" spans="1:7" x14ac:dyDescent="0.25">
      <c r="A337" s="33"/>
      <c r="B337" s="34"/>
      <c r="C337" s="34"/>
      <c r="D337" s="34"/>
      <c r="E337" s="35"/>
      <c r="F337" s="34"/>
      <c r="G337" s="36" t="str">
        <f t="shared" si="5"/>
        <v/>
      </c>
    </row>
    <row r="338" spans="1:7" x14ac:dyDescent="0.25">
      <c r="A338" s="33"/>
      <c r="B338" s="34"/>
      <c r="C338" s="34"/>
      <c r="D338" s="34"/>
      <c r="E338" s="35"/>
      <c r="F338" s="34"/>
      <c r="G338" s="36" t="str">
        <f t="shared" si="5"/>
        <v/>
      </c>
    </row>
    <row r="339" spans="1:7" x14ac:dyDescent="0.25">
      <c r="A339" s="33"/>
      <c r="B339" s="34"/>
      <c r="C339" s="34"/>
      <c r="D339" s="34"/>
      <c r="E339" s="35"/>
      <c r="F339" s="34"/>
      <c r="G339" s="36" t="str">
        <f t="shared" si="5"/>
        <v/>
      </c>
    </row>
    <row r="340" spans="1:7" x14ac:dyDescent="0.25">
      <c r="A340" s="33"/>
      <c r="B340" s="34"/>
      <c r="C340" s="34"/>
      <c r="D340" s="34"/>
      <c r="E340" s="35"/>
      <c r="F340" s="34"/>
      <c r="G340" s="36" t="str">
        <f t="shared" si="5"/>
        <v/>
      </c>
    </row>
    <row r="341" spans="1:7" x14ac:dyDescent="0.25">
      <c r="A341" s="33"/>
      <c r="B341" s="34"/>
      <c r="C341" s="34"/>
      <c r="D341" s="34"/>
      <c r="E341" s="35"/>
      <c r="F341" s="34"/>
      <c r="G341" s="36" t="str">
        <f t="shared" si="5"/>
        <v/>
      </c>
    </row>
    <row r="342" spans="1:7" x14ac:dyDescent="0.25">
      <c r="A342" s="33"/>
      <c r="B342" s="34"/>
      <c r="C342" s="34"/>
      <c r="D342" s="34"/>
      <c r="E342" s="35"/>
      <c r="F342" s="34"/>
      <c r="G342" s="36" t="str">
        <f t="shared" si="5"/>
        <v/>
      </c>
    </row>
    <row r="343" spans="1:7" x14ac:dyDescent="0.25">
      <c r="A343" s="33"/>
      <c r="B343" s="34"/>
      <c r="C343" s="34"/>
      <c r="D343" s="34"/>
      <c r="E343" s="35"/>
      <c r="F343" s="34"/>
      <c r="G343" s="36" t="str">
        <f t="shared" si="5"/>
        <v/>
      </c>
    </row>
    <row r="344" spans="1:7" x14ac:dyDescent="0.25">
      <c r="A344" s="33"/>
      <c r="B344" s="34"/>
      <c r="C344" s="34"/>
      <c r="D344" s="34"/>
      <c r="E344" s="35"/>
      <c r="F344" s="34"/>
      <c r="G344" s="36" t="str">
        <f t="shared" si="5"/>
        <v/>
      </c>
    </row>
    <row r="345" spans="1:7" x14ac:dyDescent="0.25">
      <c r="A345" s="33"/>
      <c r="B345" s="34"/>
      <c r="C345" s="34"/>
      <c r="D345" s="34"/>
      <c r="E345" s="35"/>
      <c r="F345" s="34"/>
      <c r="G345" s="36" t="str">
        <f t="shared" si="5"/>
        <v/>
      </c>
    </row>
    <row r="346" spans="1:7" x14ac:dyDescent="0.25">
      <c r="A346" s="33"/>
      <c r="B346" s="34"/>
      <c r="C346" s="34"/>
      <c r="D346" s="34"/>
      <c r="E346" s="35"/>
      <c r="F346" s="34"/>
      <c r="G346" s="36" t="str">
        <f t="shared" si="5"/>
        <v/>
      </c>
    </row>
    <row r="347" spans="1:7" x14ac:dyDescent="0.25">
      <c r="A347" s="33"/>
      <c r="B347" s="34"/>
      <c r="C347" s="34"/>
      <c r="D347" s="34"/>
      <c r="E347" s="35"/>
      <c r="F347" s="34"/>
      <c r="G347" s="36" t="str">
        <f t="shared" si="5"/>
        <v/>
      </c>
    </row>
    <row r="348" spans="1:7" x14ac:dyDescent="0.25">
      <c r="A348" s="33"/>
      <c r="B348" s="34"/>
      <c r="C348" s="34"/>
      <c r="D348" s="34"/>
      <c r="E348" s="35"/>
      <c r="F348" s="34"/>
      <c r="G348" s="36" t="str">
        <f t="shared" si="5"/>
        <v/>
      </c>
    </row>
    <row r="349" spans="1:7" x14ac:dyDescent="0.25">
      <c r="A349" s="33"/>
      <c r="B349" s="34"/>
      <c r="C349" s="34"/>
      <c r="D349" s="34"/>
      <c r="E349" s="35"/>
      <c r="F349" s="34"/>
      <c r="G349" s="36" t="str">
        <f t="shared" si="5"/>
        <v/>
      </c>
    </row>
    <row r="350" spans="1:7" x14ac:dyDescent="0.25">
      <c r="A350" s="33"/>
      <c r="B350" s="34"/>
      <c r="C350" s="34"/>
      <c r="D350" s="34"/>
      <c r="E350" s="35"/>
      <c r="F350" s="34"/>
      <c r="G350" s="36" t="str">
        <f t="shared" si="5"/>
        <v/>
      </c>
    </row>
    <row r="351" spans="1:7" x14ac:dyDescent="0.25">
      <c r="A351" s="33"/>
      <c r="B351" s="34"/>
      <c r="C351" s="34"/>
      <c r="D351" s="34"/>
      <c r="E351" s="35"/>
      <c r="F351" s="34"/>
      <c r="G351" s="36" t="str">
        <f t="shared" si="5"/>
        <v/>
      </c>
    </row>
    <row r="352" spans="1:7" x14ac:dyDescent="0.25">
      <c r="A352" s="33"/>
      <c r="B352" s="34"/>
      <c r="C352" s="34"/>
      <c r="D352" s="34"/>
      <c r="E352" s="35"/>
      <c r="F352" s="34"/>
      <c r="G352" s="36" t="str">
        <f t="shared" si="5"/>
        <v/>
      </c>
    </row>
    <row r="353" spans="1:7" x14ac:dyDescent="0.25">
      <c r="A353" s="33"/>
      <c r="B353" s="34"/>
      <c r="C353" s="34"/>
      <c r="D353" s="34"/>
      <c r="E353" s="35"/>
      <c r="F353" s="34"/>
      <c r="G353" s="36" t="str">
        <f t="shared" si="5"/>
        <v/>
      </c>
    </row>
    <row r="354" spans="1:7" x14ac:dyDescent="0.25">
      <c r="A354" s="33"/>
      <c r="B354" s="34"/>
      <c r="C354" s="34"/>
      <c r="D354" s="34"/>
      <c r="E354" s="35"/>
      <c r="F354" s="34"/>
      <c r="G354" s="36" t="str">
        <f t="shared" si="5"/>
        <v/>
      </c>
    </row>
    <row r="355" spans="1:7" x14ac:dyDescent="0.25">
      <c r="A355" s="33"/>
      <c r="B355" s="34"/>
      <c r="C355" s="34"/>
      <c r="D355" s="34"/>
      <c r="E355" s="35"/>
      <c r="F355" s="34"/>
      <c r="G355" s="36" t="str">
        <f t="shared" si="5"/>
        <v/>
      </c>
    </row>
    <row r="356" spans="1:7" x14ac:dyDescent="0.25">
      <c r="A356" s="33"/>
      <c r="B356" s="34"/>
      <c r="C356" s="34"/>
      <c r="D356" s="34"/>
      <c r="E356" s="35"/>
      <c r="F356" s="34"/>
      <c r="G356" s="36" t="str">
        <f t="shared" si="5"/>
        <v/>
      </c>
    </row>
    <row r="357" spans="1:7" x14ac:dyDescent="0.25">
      <c r="A357" s="33"/>
      <c r="B357" s="34"/>
      <c r="C357" s="34"/>
      <c r="D357" s="34"/>
      <c r="E357" s="35"/>
      <c r="F357" s="34"/>
      <c r="G357" s="36" t="str">
        <f t="shared" si="5"/>
        <v/>
      </c>
    </row>
    <row r="358" spans="1:7" x14ac:dyDescent="0.25">
      <c r="A358" s="33"/>
      <c r="B358" s="34"/>
      <c r="C358" s="34"/>
      <c r="D358" s="34"/>
      <c r="E358" s="35"/>
      <c r="F358" s="34"/>
      <c r="G358" s="36" t="str">
        <f t="shared" si="5"/>
        <v/>
      </c>
    </row>
    <row r="359" spans="1:7" x14ac:dyDescent="0.25">
      <c r="A359" s="33"/>
      <c r="B359" s="34"/>
      <c r="C359" s="34"/>
      <c r="D359" s="34"/>
      <c r="E359" s="35"/>
      <c r="F359" s="34"/>
      <c r="G359" s="36" t="str">
        <f t="shared" si="5"/>
        <v/>
      </c>
    </row>
    <row r="360" spans="1:7" x14ac:dyDescent="0.25">
      <c r="A360" s="33"/>
      <c r="B360" s="34"/>
      <c r="C360" s="34"/>
      <c r="D360" s="34"/>
      <c r="E360" s="35"/>
      <c r="F360" s="34"/>
      <c r="G360" s="36" t="str">
        <f t="shared" si="5"/>
        <v/>
      </c>
    </row>
    <row r="361" spans="1:7" x14ac:dyDescent="0.25">
      <c r="A361" s="33"/>
      <c r="B361" s="34"/>
      <c r="C361" s="34"/>
      <c r="D361" s="34"/>
      <c r="E361" s="35"/>
      <c r="F361" s="34"/>
      <c r="G361" s="36" t="str">
        <f t="shared" si="5"/>
        <v/>
      </c>
    </row>
    <row r="362" spans="1:7" x14ac:dyDescent="0.25">
      <c r="A362" s="33"/>
      <c r="B362" s="34"/>
      <c r="C362" s="34"/>
      <c r="D362" s="34"/>
      <c r="E362" s="35"/>
      <c r="F362" s="34"/>
      <c r="G362" s="36" t="str">
        <f t="shared" si="5"/>
        <v/>
      </c>
    </row>
    <row r="363" spans="1:7" x14ac:dyDescent="0.25">
      <c r="A363" s="33"/>
      <c r="B363" s="34"/>
      <c r="C363" s="34"/>
      <c r="D363" s="34"/>
      <c r="E363" s="35"/>
      <c r="F363" s="34"/>
      <c r="G363" s="36" t="str">
        <f t="shared" si="5"/>
        <v/>
      </c>
    </row>
    <row r="364" spans="1:7" x14ac:dyDescent="0.25">
      <c r="A364" s="33"/>
      <c r="B364" s="34"/>
      <c r="C364" s="34"/>
      <c r="D364" s="34"/>
      <c r="E364" s="35"/>
      <c r="F364" s="34"/>
      <c r="G364" s="36" t="str">
        <f t="shared" si="5"/>
        <v/>
      </c>
    </row>
    <row r="365" spans="1:7" x14ac:dyDescent="0.25">
      <c r="A365" s="33"/>
      <c r="B365" s="34"/>
      <c r="C365" s="34"/>
      <c r="D365" s="34"/>
      <c r="E365" s="35"/>
      <c r="F365" s="34"/>
      <c r="G365" s="36" t="str">
        <f t="shared" si="5"/>
        <v/>
      </c>
    </row>
    <row r="366" spans="1:7" x14ac:dyDescent="0.25">
      <c r="A366" s="33"/>
      <c r="B366" s="34"/>
      <c r="C366" s="34"/>
      <c r="D366" s="34"/>
      <c r="E366" s="35"/>
      <c r="F366" s="34"/>
      <c r="G366" s="36" t="str">
        <f t="shared" si="5"/>
        <v/>
      </c>
    </row>
    <row r="367" spans="1:7" x14ac:dyDescent="0.25">
      <c r="A367" s="33"/>
      <c r="B367" s="34"/>
      <c r="C367" s="34"/>
      <c r="D367" s="34"/>
      <c r="E367" s="35"/>
      <c r="F367" s="34"/>
      <c r="G367" s="36" t="str">
        <f t="shared" si="5"/>
        <v/>
      </c>
    </row>
    <row r="368" spans="1:7" x14ac:dyDescent="0.25">
      <c r="A368" s="33"/>
      <c r="B368" s="34"/>
      <c r="C368" s="34"/>
      <c r="D368" s="34"/>
      <c r="E368" s="35"/>
      <c r="F368" s="34"/>
      <c r="G368" s="36" t="str">
        <f t="shared" si="5"/>
        <v/>
      </c>
    </row>
    <row r="369" spans="1:7" x14ac:dyDescent="0.25">
      <c r="A369" s="33"/>
      <c r="B369" s="34"/>
      <c r="C369" s="34"/>
      <c r="D369" s="34"/>
      <c r="E369" s="35"/>
      <c r="F369" s="34"/>
      <c r="G369" s="36" t="str">
        <f t="shared" si="5"/>
        <v/>
      </c>
    </row>
    <row r="370" spans="1:7" x14ac:dyDescent="0.25">
      <c r="A370" s="33"/>
      <c r="B370" s="34"/>
      <c r="C370" s="34"/>
      <c r="D370" s="34"/>
      <c r="E370" s="35"/>
      <c r="F370" s="34"/>
      <c r="G370" s="36" t="str">
        <f t="shared" si="5"/>
        <v/>
      </c>
    </row>
    <row r="371" spans="1:7" x14ac:dyDescent="0.25">
      <c r="A371" s="33"/>
      <c r="B371" s="34"/>
      <c r="C371" s="34"/>
      <c r="D371" s="34"/>
      <c r="E371" s="35"/>
      <c r="F371" s="34"/>
      <c r="G371" s="36" t="str">
        <f t="shared" si="5"/>
        <v/>
      </c>
    </row>
    <row r="372" spans="1:7" x14ac:dyDescent="0.25">
      <c r="A372" s="33"/>
      <c r="B372" s="34"/>
      <c r="C372" s="34"/>
      <c r="D372" s="34"/>
      <c r="E372" s="35"/>
      <c r="F372" s="34"/>
      <c r="G372" s="36" t="str">
        <f t="shared" si="5"/>
        <v/>
      </c>
    </row>
    <row r="373" spans="1:7" x14ac:dyDescent="0.25">
      <c r="A373" s="33"/>
      <c r="B373" s="34"/>
      <c r="C373" s="34"/>
      <c r="D373" s="34"/>
      <c r="E373" s="35"/>
      <c r="F373" s="34"/>
      <c r="G373" s="36" t="str">
        <f t="shared" si="5"/>
        <v/>
      </c>
    </row>
    <row r="374" spans="1:7" x14ac:dyDescent="0.25">
      <c r="A374" s="33"/>
      <c r="B374" s="34"/>
      <c r="C374" s="34"/>
      <c r="D374" s="34"/>
      <c r="E374" s="35"/>
      <c r="F374" s="34"/>
      <c r="G374" s="36" t="str">
        <f t="shared" si="5"/>
        <v/>
      </c>
    </row>
    <row r="375" spans="1:7" x14ac:dyDescent="0.25">
      <c r="A375" s="33"/>
      <c r="B375" s="34"/>
      <c r="C375" s="34"/>
      <c r="D375" s="34"/>
      <c r="E375" s="35"/>
      <c r="F375" s="34"/>
      <c r="G375" s="36" t="str">
        <f t="shared" si="5"/>
        <v/>
      </c>
    </row>
    <row r="376" spans="1:7" x14ac:dyDescent="0.25">
      <c r="A376" s="33"/>
      <c r="B376" s="34"/>
      <c r="C376" s="34"/>
      <c r="D376" s="34"/>
      <c r="E376" s="35"/>
      <c r="F376" s="34"/>
      <c r="G376" s="36" t="str">
        <f t="shared" si="5"/>
        <v/>
      </c>
    </row>
    <row r="377" spans="1:7" x14ac:dyDescent="0.25">
      <c r="A377" s="33"/>
      <c r="B377" s="34"/>
      <c r="C377" s="34"/>
      <c r="D377" s="34"/>
      <c r="E377" s="35"/>
      <c r="F377" s="34"/>
      <c r="G377" s="36" t="str">
        <f t="shared" si="5"/>
        <v/>
      </c>
    </row>
    <row r="378" spans="1:7" x14ac:dyDescent="0.25">
      <c r="A378" s="33"/>
      <c r="B378" s="34"/>
      <c r="C378" s="34"/>
      <c r="D378" s="34"/>
      <c r="E378" s="35"/>
      <c r="F378" s="34"/>
      <c r="G378" s="36" t="str">
        <f t="shared" si="5"/>
        <v/>
      </c>
    </row>
    <row r="379" spans="1:7" x14ac:dyDescent="0.25">
      <c r="A379" s="33"/>
      <c r="B379" s="34"/>
      <c r="C379" s="34"/>
      <c r="D379" s="34"/>
      <c r="E379" s="35"/>
      <c r="F379" s="34"/>
      <c r="G379" s="36" t="str">
        <f t="shared" si="5"/>
        <v/>
      </c>
    </row>
    <row r="380" spans="1:7" x14ac:dyDescent="0.25">
      <c r="A380" s="33"/>
      <c r="B380" s="34"/>
      <c r="C380" s="34"/>
      <c r="D380" s="34"/>
      <c r="E380" s="35"/>
      <c r="F380" s="34"/>
      <c r="G380" s="36" t="str">
        <f t="shared" si="5"/>
        <v/>
      </c>
    </row>
    <row r="381" spans="1:7" x14ac:dyDescent="0.25">
      <c r="A381" s="33"/>
      <c r="B381" s="34"/>
      <c r="C381" s="34"/>
      <c r="D381" s="34"/>
      <c r="E381" s="35"/>
      <c r="F381" s="34"/>
      <c r="G381" s="36" t="str">
        <f t="shared" si="5"/>
        <v/>
      </c>
    </row>
    <row r="382" spans="1:7" x14ac:dyDescent="0.25">
      <c r="A382" s="33"/>
      <c r="B382" s="34"/>
      <c r="C382" s="34"/>
      <c r="D382" s="34"/>
      <c r="E382" s="35"/>
      <c r="F382" s="34"/>
      <c r="G382" s="36" t="str">
        <f t="shared" si="5"/>
        <v/>
      </c>
    </row>
    <row r="383" spans="1:7" x14ac:dyDescent="0.25">
      <c r="A383" s="33"/>
      <c r="B383" s="34"/>
      <c r="C383" s="34"/>
      <c r="D383" s="34"/>
      <c r="E383" s="35"/>
      <c r="F383" s="34"/>
      <c r="G383" s="36" t="str">
        <f t="shared" si="5"/>
        <v/>
      </c>
    </row>
    <row r="384" spans="1:7" x14ac:dyDescent="0.25">
      <c r="A384" s="33"/>
      <c r="B384" s="34"/>
      <c r="C384" s="34"/>
      <c r="D384" s="34"/>
      <c r="E384" s="35"/>
      <c r="F384" s="34"/>
      <c r="G384" s="36" t="str">
        <f t="shared" si="5"/>
        <v/>
      </c>
    </row>
    <row r="385" spans="1:7" x14ac:dyDescent="0.25">
      <c r="A385" s="33"/>
      <c r="B385" s="34"/>
      <c r="C385" s="34"/>
      <c r="D385" s="34"/>
      <c r="E385" s="35"/>
      <c r="F385" s="34"/>
      <c r="G385" s="36" t="str">
        <f t="shared" si="5"/>
        <v/>
      </c>
    </row>
    <row r="386" spans="1:7" x14ac:dyDescent="0.25">
      <c r="A386" s="33"/>
      <c r="B386" s="34"/>
      <c r="C386" s="34"/>
      <c r="D386" s="34"/>
      <c r="E386" s="35"/>
      <c r="F386" s="34"/>
      <c r="G386" s="36" t="str">
        <f t="shared" si="5"/>
        <v/>
      </c>
    </row>
    <row r="387" spans="1:7" x14ac:dyDescent="0.25">
      <c r="A387" s="33"/>
      <c r="B387" s="34"/>
      <c r="C387" s="34"/>
      <c r="D387" s="34"/>
      <c r="E387" s="35"/>
      <c r="F387" s="34"/>
      <c r="G387" s="36" t="str">
        <f t="shared" si="5"/>
        <v/>
      </c>
    </row>
    <row r="388" spans="1:7" x14ac:dyDescent="0.25">
      <c r="A388" s="33"/>
      <c r="B388" s="34"/>
      <c r="C388" s="34"/>
      <c r="D388" s="34"/>
      <c r="E388" s="35"/>
      <c r="F388" s="34"/>
      <c r="G388" s="36" t="str">
        <f t="shared" si="5"/>
        <v/>
      </c>
    </row>
    <row r="389" spans="1:7" x14ac:dyDescent="0.25">
      <c r="A389" s="33"/>
      <c r="B389" s="34"/>
      <c r="C389" s="34"/>
      <c r="D389" s="34"/>
      <c r="E389" s="35"/>
      <c r="F389" s="34"/>
      <c r="G389" s="36" t="str">
        <f t="shared" si="5"/>
        <v/>
      </c>
    </row>
    <row r="390" spans="1:7" x14ac:dyDescent="0.25">
      <c r="A390" s="33"/>
      <c r="B390" s="34"/>
      <c r="C390" s="34"/>
      <c r="D390" s="34"/>
      <c r="E390" s="35"/>
      <c r="F390" s="34"/>
      <c r="G390" s="36" t="str">
        <f t="shared" ref="G390:G453" si="6">IF(A390="","",DATE(YEAR(A390),MONTH(A390),1))</f>
        <v/>
      </c>
    </row>
    <row r="391" spans="1:7" x14ac:dyDescent="0.25">
      <c r="A391" s="33"/>
      <c r="B391" s="34"/>
      <c r="C391" s="34"/>
      <c r="D391" s="34"/>
      <c r="E391" s="35"/>
      <c r="F391" s="34"/>
      <c r="G391" s="36" t="str">
        <f t="shared" si="6"/>
        <v/>
      </c>
    </row>
    <row r="392" spans="1:7" x14ac:dyDescent="0.25">
      <c r="A392" s="33"/>
      <c r="B392" s="34"/>
      <c r="C392" s="34"/>
      <c r="D392" s="34"/>
      <c r="E392" s="35"/>
      <c r="F392" s="34"/>
      <c r="G392" s="36" t="str">
        <f t="shared" si="6"/>
        <v/>
      </c>
    </row>
    <row r="393" spans="1:7" x14ac:dyDescent="0.25">
      <c r="A393" s="33"/>
      <c r="B393" s="34"/>
      <c r="C393" s="34"/>
      <c r="D393" s="34"/>
      <c r="E393" s="35"/>
      <c r="F393" s="34"/>
      <c r="G393" s="36" t="str">
        <f t="shared" si="6"/>
        <v/>
      </c>
    </row>
    <row r="394" spans="1:7" x14ac:dyDescent="0.25">
      <c r="A394" s="33"/>
      <c r="B394" s="34"/>
      <c r="C394" s="34"/>
      <c r="D394" s="34"/>
      <c r="E394" s="35"/>
      <c r="F394" s="34"/>
      <c r="G394" s="36" t="str">
        <f t="shared" si="6"/>
        <v/>
      </c>
    </row>
    <row r="395" spans="1:7" x14ac:dyDescent="0.25">
      <c r="A395" s="33"/>
      <c r="B395" s="34"/>
      <c r="C395" s="34"/>
      <c r="D395" s="34"/>
      <c r="E395" s="35"/>
      <c r="F395" s="34"/>
      <c r="G395" s="36" t="str">
        <f t="shared" si="6"/>
        <v/>
      </c>
    </row>
    <row r="396" spans="1:7" x14ac:dyDescent="0.25">
      <c r="A396" s="33"/>
      <c r="B396" s="34"/>
      <c r="C396" s="34"/>
      <c r="D396" s="34"/>
      <c r="E396" s="35"/>
      <c r="F396" s="34"/>
      <c r="G396" s="36" t="str">
        <f t="shared" si="6"/>
        <v/>
      </c>
    </row>
    <row r="397" spans="1:7" x14ac:dyDescent="0.25">
      <c r="A397" s="33"/>
      <c r="B397" s="34"/>
      <c r="C397" s="34"/>
      <c r="D397" s="34"/>
      <c r="E397" s="35"/>
      <c r="F397" s="34"/>
      <c r="G397" s="36" t="str">
        <f t="shared" si="6"/>
        <v/>
      </c>
    </row>
    <row r="398" spans="1:7" x14ac:dyDescent="0.25">
      <c r="A398" s="33"/>
      <c r="B398" s="34"/>
      <c r="C398" s="34"/>
      <c r="D398" s="34"/>
      <c r="E398" s="35"/>
      <c r="F398" s="34"/>
      <c r="G398" s="36" t="str">
        <f t="shared" si="6"/>
        <v/>
      </c>
    </row>
    <row r="399" spans="1:7" x14ac:dyDescent="0.25">
      <c r="A399" s="33"/>
      <c r="B399" s="34"/>
      <c r="C399" s="34"/>
      <c r="D399" s="34"/>
      <c r="E399" s="35"/>
      <c r="F399" s="34"/>
      <c r="G399" s="36" t="str">
        <f t="shared" si="6"/>
        <v/>
      </c>
    </row>
    <row r="400" spans="1:7" x14ac:dyDescent="0.25">
      <c r="A400" s="33"/>
      <c r="B400" s="34"/>
      <c r="C400" s="34"/>
      <c r="D400" s="34"/>
      <c r="E400" s="35"/>
      <c r="F400" s="34"/>
      <c r="G400" s="36" t="str">
        <f t="shared" si="6"/>
        <v/>
      </c>
    </row>
    <row r="401" spans="1:7" x14ac:dyDescent="0.25">
      <c r="A401" s="33"/>
      <c r="B401" s="34"/>
      <c r="C401" s="34"/>
      <c r="D401" s="34"/>
      <c r="E401" s="35"/>
      <c r="F401" s="34"/>
      <c r="G401" s="36" t="str">
        <f t="shared" si="6"/>
        <v/>
      </c>
    </row>
    <row r="402" spans="1:7" x14ac:dyDescent="0.25">
      <c r="A402" s="33"/>
      <c r="B402" s="34"/>
      <c r="C402" s="34"/>
      <c r="D402" s="34"/>
      <c r="E402" s="35"/>
      <c r="F402" s="34"/>
      <c r="G402" s="36" t="str">
        <f t="shared" si="6"/>
        <v/>
      </c>
    </row>
    <row r="403" spans="1:7" x14ac:dyDescent="0.25">
      <c r="A403" s="33"/>
      <c r="B403" s="34"/>
      <c r="C403" s="34"/>
      <c r="D403" s="34"/>
      <c r="E403" s="35"/>
      <c r="F403" s="34"/>
      <c r="G403" s="36" t="str">
        <f t="shared" si="6"/>
        <v/>
      </c>
    </row>
    <row r="404" spans="1:7" x14ac:dyDescent="0.25">
      <c r="A404" s="33"/>
      <c r="B404" s="34"/>
      <c r="C404" s="34"/>
      <c r="D404" s="34"/>
      <c r="E404" s="35"/>
      <c r="F404" s="34"/>
      <c r="G404" s="36" t="str">
        <f t="shared" si="6"/>
        <v/>
      </c>
    </row>
    <row r="405" spans="1:7" x14ac:dyDescent="0.25">
      <c r="A405" s="33"/>
      <c r="B405" s="34"/>
      <c r="C405" s="34"/>
      <c r="D405" s="34"/>
      <c r="E405" s="35"/>
      <c r="F405" s="34"/>
      <c r="G405" s="36" t="str">
        <f t="shared" si="6"/>
        <v/>
      </c>
    </row>
    <row r="406" spans="1:7" x14ac:dyDescent="0.25">
      <c r="A406" s="33"/>
      <c r="B406" s="34"/>
      <c r="C406" s="34"/>
      <c r="D406" s="34"/>
      <c r="E406" s="35"/>
      <c r="F406" s="34"/>
      <c r="G406" s="36" t="str">
        <f t="shared" si="6"/>
        <v/>
      </c>
    </row>
    <row r="407" spans="1:7" x14ac:dyDescent="0.25">
      <c r="A407" s="33"/>
      <c r="B407" s="34"/>
      <c r="C407" s="34"/>
      <c r="D407" s="34"/>
      <c r="E407" s="35"/>
      <c r="F407" s="34"/>
      <c r="G407" s="36" t="str">
        <f t="shared" si="6"/>
        <v/>
      </c>
    </row>
    <row r="408" spans="1:7" x14ac:dyDescent="0.25">
      <c r="A408" s="33"/>
      <c r="B408" s="34"/>
      <c r="C408" s="34"/>
      <c r="D408" s="34"/>
      <c r="E408" s="35"/>
      <c r="F408" s="34"/>
      <c r="G408" s="36" t="str">
        <f t="shared" si="6"/>
        <v/>
      </c>
    </row>
    <row r="409" spans="1:7" x14ac:dyDescent="0.25">
      <c r="A409" s="33"/>
      <c r="B409" s="34"/>
      <c r="C409" s="34"/>
      <c r="D409" s="34"/>
      <c r="E409" s="35"/>
      <c r="F409" s="34"/>
      <c r="G409" s="36" t="str">
        <f t="shared" si="6"/>
        <v/>
      </c>
    </row>
    <row r="410" spans="1:7" x14ac:dyDescent="0.25">
      <c r="A410" s="33"/>
      <c r="B410" s="34"/>
      <c r="C410" s="34"/>
      <c r="D410" s="34"/>
      <c r="E410" s="35"/>
      <c r="F410" s="34"/>
      <c r="G410" s="36" t="str">
        <f t="shared" si="6"/>
        <v/>
      </c>
    </row>
    <row r="411" spans="1:7" x14ac:dyDescent="0.25">
      <c r="A411" s="33"/>
      <c r="B411" s="34"/>
      <c r="C411" s="34"/>
      <c r="D411" s="34"/>
      <c r="E411" s="35"/>
      <c r="F411" s="34"/>
      <c r="G411" s="36" t="str">
        <f t="shared" si="6"/>
        <v/>
      </c>
    </row>
    <row r="412" spans="1:7" x14ac:dyDescent="0.25">
      <c r="A412" s="33"/>
      <c r="B412" s="34"/>
      <c r="C412" s="34"/>
      <c r="D412" s="34"/>
      <c r="E412" s="35"/>
      <c r="F412" s="34"/>
      <c r="G412" s="36" t="str">
        <f t="shared" si="6"/>
        <v/>
      </c>
    </row>
    <row r="413" spans="1:7" x14ac:dyDescent="0.25">
      <c r="A413" s="33"/>
      <c r="B413" s="34"/>
      <c r="C413" s="34"/>
      <c r="D413" s="34"/>
      <c r="E413" s="35"/>
      <c r="F413" s="34"/>
      <c r="G413" s="36" t="str">
        <f t="shared" si="6"/>
        <v/>
      </c>
    </row>
    <row r="414" spans="1:7" x14ac:dyDescent="0.25">
      <c r="A414" s="33"/>
      <c r="B414" s="34"/>
      <c r="C414" s="34"/>
      <c r="D414" s="34"/>
      <c r="E414" s="35"/>
      <c r="F414" s="34"/>
      <c r="G414" s="36" t="str">
        <f t="shared" si="6"/>
        <v/>
      </c>
    </row>
    <row r="415" spans="1:7" x14ac:dyDescent="0.25">
      <c r="A415" s="33"/>
      <c r="B415" s="34"/>
      <c r="C415" s="34"/>
      <c r="D415" s="34"/>
      <c r="E415" s="35"/>
      <c r="F415" s="34"/>
      <c r="G415" s="36" t="str">
        <f t="shared" si="6"/>
        <v/>
      </c>
    </row>
    <row r="416" spans="1:7" x14ac:dyDescent="0.25">
      <c r="A416" s="33"/>
      <c r="B416" s="34"/>
      <c r="C416" s="34"/>
      <c r="D416" s="34"/>
      <c r="E416" s="35"/>
      <c r="F416" s="34"/>
      <c r="G416" s="36" t="str">
        <f t="shared" si="6"/>
        <v/>
      </c>
    </row>
    <row r="417" spans="1:7" x14ac:dyDescent="0.25">
      <c r="A417" s="33"/>
      <c r="B417" s="34"/>
      <c r="C417" s="34"/>
      <c r="D417" s="34"/>
      <c r="E417" s="35"/>
      <c r="F417" s="34"/>
      <c r="G417" s="36" t="str">
        <f t="shared" si="6"/>
        <v/>
      </c>
    </row>
    <row r="418" spans="1:7" x14ac:dyDescent="0.25">
      <c r="A418" s="33"/>
      <c r="B418" s="34"/>
      <c r="C418" s="34"/>
      <c r="D418" s="34"/>
      <c r="E418" s="35"/>
      <c r="F418" s="34"/>
      <c r="G418" s="36" t="str">
        <f t="shared" si="6"/>
        <v/>
      </c>
    </row>
    <row r="419" spans="1:7" x14ac:dyDescent="0.25">
      <c r="A419" s="33"/>
      <c r="B419" s="34"/>
      <c r="C419" s="34"/>
      <c r="D419" s="34"/>
      <c r="E419" s="35"/>
      <c r="F419" s="34"/>
      <c r="G419" s="36" t="str">
        <f t="shared" si="6"/>
        <v/>
      </c>
    </row>
    <row r="420" spans="1:7" x14ac:dyDescent="0.25">
      <c r="A420" s="33"/>
      <c r="B420" s="34"/>
      <c r="C420" s="34"/>
      <c r="D420" s="34"/>
      <c r="E420" s="35"/>
      <c r="F420" s="34"/>
      <c r="G420" s="36" t="str">
        <f t="shared" si="6"/>
        <v/>
      </c>
    </row>
    <row r="421" spans="1:7" x14ac:dyDescent="0.25">
      <c r="A421" s="33"/>
      <c r="B421" s="34"/>
      <c r="C421" s="34"/>
      <c r="D421" s="34"/>
      <c r="E421" s="35"/>
      <c r="F421" s="34"/>
      <c r="G421" s="36" t="str">
        <f t="shared" si="6"/>
        <v/>
      </c>
    </row>
    <row r="422" spans="1:7" x14ac:dyDescent="0.25">
      <c r="A422" s="33"/>
      <c r="B422" s="34"/>
      <c r="C422" s="34"/>
      <c r="D422" s="34"/>
      <c r="E422" s="35"/>
      <c r="F422" s="34"/>
      <c r="G422" s="36" t="str">
        <f t="shared" si="6"/>
        <v/>
      </c>
    </row>
    <row r="423" spans="1:7" x14ac:dyDescent="0.25">
      <c r="A423" s="33"/>
      <c r="B423" s="34"/>
      <c r="C423" s="34"/>
      <c r="D423" s="34"/>
      <c r="E423" s="35"/>
      <c r="F423" s="34"/>
      <c r="G423" s="36" t="str">
        <f t="shared" si="6"/>
        <v/>
      </c>
    </row>
    <row r="424" spans="1:7" x14ac:dyDescent="0.25">
      <c r="A424" s="33"/>
      <c r="B424" s="34"/>
      <c r="C424" s="34"/>
      <c r="D424" s="34"/>
      <c r="E424" s="35"/>
      <c r="F424" s="34"/>
      <c r="G424" s="36" t="str">
        <f t="shared" si="6"/>
        <v/>
      </c>
    </row>
    <row r="425" spans="1:7" x14ac:dyDescent="0.25">
      <c r="A425" s="33"/>
      <c r="B425" s="34"/>
      <c r="C425" s="34"/>
      <c r="D425" s="34"/>
      <c r="E425" s="35"/>
      <c r="F425" s="34"/>
      <c r="G425" s="36" t="str">
        <f t="shared" si="6"/>
        <v/>
      </c>
    </row>
    <row r="426" spans="1:7" x14ac:dyDescent="0.25">
      <c r="A426" s="33"/>
      <c r="B426" s="34"/>
      <c r="C426" s="34"/>
      <c r="D426" s="34"/>
      <c r="E426" s="35"/>
      <c r="F426" s="34"/>
      <c r="G426" s="36" t="str">
        <f t="shared" si="6"/>
        <v/>
      </c>
    </row>
    <row r="427" spans="1:7" x14ac:dyDescent="0.25">
      <c r="A427" s="33"/>
      <c r="B427" s="34"/>
      <c r="C427" s="34"/>
      <c r="D427" s="34"/>
      <c r="E427" s="35"/>
      <c r="F427" s="34"/>
      <c r="G427" s="36" t="str">
        <f t="shared" si="6"/>
        <v/>
      </c>
    </row>
    <row r="428" spans="1:7" x14ac:dyDescent="0.25">
      <c r="A428" s="33"/>
      <c r="B428" s="34"/>
      <c r="C428" s="34"/>
      <c r="D428" s="34"/>
      <c r="E428" s="35"/>
      <c r="F428" s="34"/>
      <c r="G428" s="36" t="str">
        <f t="shared" si="6"/>
        <v/>
      </c>
    </row>
    <row r="429" spans="1:7" x14ac:dyDescent="0.25">
      <c r="A429" s="33"/>
      <c r="B429" s="34"/>
      <c r="C429" s="34"/>
      <c r="D429" s="34"/>
      <c r="E429" s="35"/>
      <c r="F429" s="34"/>
      <c r="G429" s="36" t="str">
        <f t="shared" si="6"/>
        <v/>
      </c>
    </row>
    <row r="430" spans="1:7" x14ac:dyDescent="0.25">
      <c r="A430" s="33"/>
      <c r="B430" s="34"/>
      <c r="C430" s="34"/>
      <c r="D430" s="34"/>
      <c r="E430" s="35"/>
      <c r="F430" s="34"/>
      <c r="G430" s="36" t="str">
        <f t="shared" si="6"/>
        <v/>
      </c>
    </row>
    <row r="431" spans="1:7" x14ac:dyDescent="0.25">
      <c r="A431" s="33"/>
      <c r="B431" s="34"/>
      <c r="C431" s="34"/>
      <c r="D431" s="34"/>
      <c r="E431" s="35"/>
      <c r="F431" s="34"/>
      <c r="G431" s="36" t="str">
        <f t="shared" si="6"/>
        <v/>
      </c>
    </row>
    <row r="432" spans="1:7" x14ac:dyDescent="0.25">
      <c r="A432" s="33"/>
      <c r="B432" s="34"/>
      <c r="C432" s="34"/>
      <c r="D432" s="34"/>
      <c r="E432" s="35"/>
      <c r="F432" s="34"/>
      <c r="G432" s="36" t="str">
        <f t="shared" si="6"/>
        <v/>
      </c>
    </row>
    <row r="433" spans="1:7" x14ac:dyDescent="0.25">
      <c r="A433" s="33"/>
      <c r="B433" s="34"/>
      <c r="C433" s="34"/>
      <c r="D433" s="34"/>
      <c r="E433" s="35"/>
      <c r="F433" s="34"/>
      <c r="G433" s="36" t="str">
        <f t="shared" si="6"/>
        <v/>
      </c>
    </row>
    <row r="434" spans="1:7" x14ac:dyDescent="0.25">
      <c r="A434" s="33"/>
      <c r="B434" s="34"/>
      <c r="C434" s="34"/>
      <c r="D434" s="34"/>
      <c r="E434" s="35"/>
      <c r="F434" s="34"/>
      <c r="G434" s="36" t="str">
        <f t="shared" si="6"/>
        <v/>
      </c>
    </row>
    <row r="435" spans="1:7" x14ac:dyDescent="0.25">
      <c r="A435" s="33"/>
      <c r="B435" s="34"/>
      <c r="C435" s="34"/>
      <c r="D435" s="34"/>
      <c r="E435" s="35"/>
      <c r="F435" s="34"/>
      <c r="G435" s="36" t="str">
        <f t="shared" si="6"/>
        <v/>
      </c>
    </row>
    <row r="436" spans="1:7" x14ac:dyDescent="0.25">
      <c r="A436" s="33"/>
      <c r="B436" s="34"/>
      <c r="C436" s="34"/>
      <c r="D436" s="34"/>
      <c r="E436" s="35"/>
      <c r="F436" s="34"/>
      <c r="G436" s="36" t="str">
        <f t="shared" si="6"/>
        <v/>
      </c>
    </row>
    <row r="437" spans="1:7" x14ac:dyDescent="0.25">
      <c r="A437" s="33"/>
      <c r="B437" s="34"/>
      <c r="C437" s="34"/>
      <c r="D437" s="34"/>
      <c r="E437" s="35"/>
      <c r="F437" s="34"/>
      <c r="G437" s="36" t="str">
        <f t="shared" si="6"/>
        <v/>
      </c>
    </row>
    <row r="438" spans="1:7" x14ac:dyDescent="0.25">
      <c r="A438" s="33"/>
      <c r="B438" s="34"/>
      <c r="C438" s="34"/>
      <c r="D438" s="34"/>
      <c r="E438" s="35"/>
      <c r="F438" s="34"/>
      <c r="G438" s="36" t="str">
        <f t="shared" si="6"/>
        <v/>
      </c>
    </row>
    <row r="439" spans="1:7" x14ac:dyDescent="0.25">
      <c r="A439" s="33"/>
      <c r="B439" s="34"/>
      <c r="C439" s="34"/>
      <c r="D439" s="34"/>
      <c r="E439" s="35"/>
      <c r="F439" s="34"/>
      <c r="G439" s="36" t="str">
        <f t="shared" si="6"/>
        <v/>
      </c>
    </row>
    <row r="440" spans="1:7" x14ac:dyDescent="0.25">
      <c r="A440" s="33"/>
      <c r="B440" s="34"/>
      <c r="C440" s="34"/>
      <c r="D440" s="34"/>
      <c r="E440" s="35"/>
      <c r="F440" s="34"/>
      <c r="G440" s="36" t="str">
        <f t="shared" si="6"/>
        <v/>
      </c>
    </row>
    <row r="441" spans="1:7" x14ac:dyDescent="0.25">
      <c r="A441" s="33"/>
      <c r="B441" s="34"/>
      <c r="C441" s="34"/>
      <c r="D441" s="34"/>
      <c r="E441" s="35"/>
      <c r="F441" s="34"/>
      <c r="G441" s="36" t="str">
        <f t="shared" si="6"/>
        <v/>
      </c>
    </row>
    <row r="442" spans="1:7" x14ac:dyDescent="0.25">
      <c r="A442" s="33"/>
      <c r="B442" s="34"/>
      <c r="C442" s="34"/>
      <c r="D442" s="34"/>
      <c r="E442" s="35"/>
      <c r="F442" s="34"/>
      <c r="G442" s="36" t="str">
        <f t="shared" si="6"/>
        <v/>
      </c>
    </row>
    <row r="443" spans="1:7" x14ac:dyDescent="0.25">
      <c r="A443" s="33"/>
      <c r="B443" s="34"/>
      <c r="C443" s="34"/>
      <c r="D443" s="34"/>
      <c r="E443" s="35"/>
      <c r="F443" s="34"/>
      <c r="G443" s="36" t="str">
        <f t="shared" si="6"/>
        <v/>
      </c>
    </row>
    <row r="444" spans="1:7" x14ac:dyDescent="0.25">
      <c r="A444" s="33"/>
      <c r="B444" s="34"/>
      <c r="C444" s="34"/>
      <c r="D444" s="34"/>
      <c r="E444" s="35"/>
      <c r="F444" s="34"/>
      <c r="G444" s="36" t="str">
        <f t="shared" si="6"/>
        <v/>
      </c>
    </row>
    <row r="445" spans="1:7" x14ac:dyDescent="0.25">
      <c r="A445" s="33"/>
      <c r="B445" s="34"/>
      <c r="C445" s="34"/>
      <c r="D445" s="34"/>
      <c r="E445" s="35"/>
      <c r="F445" s="34"/>
      <c r="G445" s="36" t="str">
        <f t="shared" si="6"/>
        <v/>
      </c>
    </row>
    <row r="446" spans="1:7" x14ac:dyDescent="0.25">
      <c r="A446" s="33"/>
      <c r="B446" s="34"/>
      <c r="C446" s="34"/>
      <c r="D446" s="34"/>
      <c r="E446" s="35"/>
      <c r="F446" s="34"/>
      <c r="G446" s="36" t="str">
        <f t="shared" si="6"/>
        <v/>
      </c>
    </row>
    <row r="447" spans="1:7" x14ac:dyDescent="0.25">
      <c r="A447" s="33"/>
      <c r="B447" s="34"/>
      <c r="C447" s="34"/>
      <c r="D447" s="34"/>
      <c r="E447" s="35"/>
      <c r="F447" s="34"/>
      <c r="G447" s="36" t="str">
        <f t="shared" si="6"/>
        <v/>
      </c>
    </row>
    <row r="448" spans="1:7" x14ac:dyDescent="0.25">
      <c r="A448" s="33"/>
      <c r="B448" s="34"/>
      <c r="C448" s="34"/>
      <c r="D448" s="34"/>
      <c r="E448" s="35"/>
      <c r="F448" s="34"/>
      <c r="G448" s="36" t="str">
        <f t="shared" si="6"/>
        <v/>
      </c>
    </row>
    <row r="449" spans="1:7" x14ac:dyDescent="0.25">
      <c r="A449" s="33"/>
      <c r="B449" s="34"/>
      <c r="C449" s="34"/>
      <c r="D449" s="34"/>
      <c r="E449" s="35"/>
      <c r="F449" s="34"/>
      <c r="G449" s="36" t="str">
        <f t="shared" si="6"/>
        <v/>
      </c>
    </row>
    <row r="450" spans="1:7" x14ac:dyDescent="0.25">
      <c r="A450" s="33"/>
      <c r="B450" s="34"/>
      <c r="C450" s="34"/>
      <c r="D450" s="34"/>
      <c r="E450" s="35"/>
      <c r="F450" s="34"/>
      <c r="G450" s="36" t="str">
        <f t="shared" si="6"/>
        <v/>
      </c>
    </row>
    <row r="451" spans="1:7" x14ac:dyDescent="0.25">
      <c r="A451" s="33"/>
      <c r="B451" s="34"/>
      <c r="C451" s="34"/>
      <c r="D451" s="34"/>
      <c r="E451" s="35"/>
      <c r="F451" s="34"/>
      <c r="G451" s="36" t="str">
        <f t="shared" si="6"/>
        <v/>
      </c>
    </row>
    <row r="452" spans="1:7" x14ac:dyDescent="0.25">
      <c r="A452" s="33"/>
      <c r="B452" s="34"/>
      <c r="C452" s="34"/>
      <c r="D452" s="34"/>
      <c r="E452" s="35"/>
      <c r="F452" s="34"/>
      <c r="G452" s="36" t="str">
        <f t="shared" si="6"/>
        <v/>
      </c>
    </row>
    <row r="453" spans="1:7" x14ac:dyDescent="0.25">
      <c r="A453" s="33"/>
      <c r="B453" s="34"/>
      <c r="C453" s="34"/>
      <c r="D453" s="34"/>
      <c r="E453" s="35"/>
      <c r="F453" s="34"/>
      <c r="G453" s="36" t="str">
        <f t="shared" si="6"/>
        <v/>
      </c>
    </row>
    <row r="454" spans="1:7" x14ac:dyDescent="0.25">
      <c r="A454" s="33"/>
      <c r="B454" s="34"/>
      <c r="C454" s="34"/>
      <c r="D454" s="34"/>
      <c r="E454" s="35"/>
      <c r="F454" s="34"/>
      <c r="G454" s="36" t="str">
        <f t="shared" ref="G454:G517" si="7">IF(A454="","",DATE(YEAR(A454),MONTH(A454),1))</f>
        <v/>
      </c>
    </row>
    <row r="455" spans="1:7" x14ac:dyDescent="0.25">
      <c r="A455" s="33"/>
      <c r="B455" s="34"/>
      <c r="C455" s="34"/>
      <c r="D455" s="34"/>
      <c r="E455" s="35"/>
      <c r="F455" s="34"/>
      <c r="G455" s="36" t="str">
        <f t="shared" si="7"/>
        <v/>
      </c>
    </row>
    <row r="456" spans="1:7" x14ac:dyDescent="0.25">
      <c r="A456" s="33"/>
      <c r="B456" s="34"/>
      <c r="C456" s="34"/>
      <c r="D456" s="34"/>
      <c r="E456" s="35"/>
      <c r="F456" s="34"/>
      <c r="G456" s="36" t="str">
        <f t="shared" si="7"/>
        <v/>
      </c>
    </row>
    <row r="457" spans="1:7" x14ac:dyDescent="0.25">
      <c r="A457" s="33"/>
      <c r="B457" s="34"/>
      <c r="C457" s="34"/>
      <c r="D457" s="34"/>
      <c r="E457" s="35"/>
      <c r="F457" s="34"/>
      <c r="G457" s="36" t="str">
        <f t="shared" si="7"/>
        <v/>
      </c>
    </row>
    <row r="458" spans="1:7" x14ac:dyDescent="0.25">
      <c r="A458" s="33"/>
      <c r="B458" s="34"/>
      <c r="C458" s="34"/>
      <c r="D458" s="34"/>
      <c r="E458" s="35"/>
      <c r="F458" s="34"/>
      <c r="G458" s="36" t="str">
        <f t="shared" si="7"/>
        <v/>
      </c>
    </row>
    <row r="459" spans="1:7" x14ac:dyDescent="0.25">
      <c r="A459" s="33"/>
      <c r="B459" s="34"/>
      <c r="C459" s="34"/>
      <c r="D459" s="34"/>
      <c r="E459" s="35"/>
      <c r="F459" s="34"/>
      <c r="G459" s="36" t="str">
        <f t="shared" si="7"/>
        <v/>
      </c>
    </row>
    <row r="460" spans="1:7" x14ac:dyDescent="0.25">
      <c r="A460" s="33"/>
      <c r="B460" s="34"/>
      <c r="C460" s="34"/>
      <c r="D460" s="34"/>
      <c r="E460" s="35"/>
      <c r="F460" s="34"/>
      <c r="G460" s="36" t="str">
        <f t="shared" si="7"/>
        <v/>
      </c>
    </row>
    <row r="461" spans="1:7" x14ac:dyDescent="0.25">
      <c r="A461" s="33"/>
      <c r="B461" s="34"/>
      <c r="C461" s="34"/>
      <c r="D461" s="34"/>
      <c r="E461" s="35"/>
      <c r="F461" s="34"/>
      <c r="G461" s="36" t="str">
        <f t="shared" si="7"/>
        <v/>
      </c>
    </row>
    <row r="462" spans="1:7" x14ac:dyDescent="0.25">
      <c r="A462" s="33"/>
      <c r="B462" s="34"/>
      <c r="C462" s="34"/>
      <c r="D462" s="34"/>
      <c r="E462" s="35"/>
      <c r="F462" s="34"/>
      <c r="G462" s="36" t="str">
        <f t="shared" si="7"/>
        <v/>
      </c>
    </row>
    <row r="463" spans="1:7" x14ac:dyDescent="0.25">
      <c r="A463" s="33"/>
      <c r="B463" s="34"/>
      <c r="C463" s="34"/>
      <c r="D463" s="34"/>
      <c r="E463" s="35"/>
      <c r="F463" s="34"/>
      <c r="G463" s="36" t="str">
        <f t="shared" si="7"/>
        <v/>
      </c>
    </row>
    <row r="464" spans="1:7" x14ac:dyDescent="0.25">
      <c r="A464" s="33"/>
      <c r="B464" s="34"/>
      <c r="C464" s="34"/>
      <c r="D464" s="34"/>
      <c r="E464" s="35"/>
      <c r="F464" s="34"/>
      <c r="G464" s="36" t="str">
        <f t="shared" si="7"/>
        <v/>
      </c>
    </row>
    <row r="465" spans="1:7" x14ac:dyDescent="0.25">
      <c r="A465" s="33"/>
      <c r="B465" s="34"/>
      <c r="C465" s="34"/>
      <c r="D465" s="34"/>
      <c r="E465" s="35"/>
      <c r="F465" s="34"/>
      <c r="G465" s="36" t="str">
        <f t="shared" si="7"/>
        <v/>
      </c>
    </row>
    <row r="466" spans="1:7" x14ac:dyDescent="0.25">
      <c r="A466" s="33"/>
      <c r="B466" s="34"/>
      <c r="C466" s="34"/>
      <c r="D466" s="34"/>
      <c r="E466" s="35"/>
      <c r="F466" s="34"/>
      <c r="G466" s="36" t="str">
        <f t="shared" si="7"/>
        <v/>
      </c>
    </row>
    <row r="467" spans="1:7" x14ac:dyDescent="0.25">
      <c r="A467" s="33"/>
      <c r="B467" s="34"/>
      <c r="C467" s="34"/>
      <c r="D467" s="34"/>
      <c r="E467" s="35"/>
      <c r="F467" s="34"/>
      <c r="G467" s="36" t="str">
        <f t="shared" si="7"/>
        <v/>
      </c>
    </row>
    <row r="468" spans="1:7" x14ac:dyDescent="0.25">
      <c r="A468" s="33"/>
      <c r="B468" s="34"/>
      <c r="C468" s="34"/>
      <c r="D468" s="34"/>
      <c r="E468" s="35"/>
      <c r="F468" s="34"/>
      <c r="G468" s="36" t="str">
        <f t="shared" si="7"/>
        <v/>
      </c>
    </row>
    <row r="469" spans="1:7" x14ac:dyDescent="0.25">
      <c r="A469" s="33"/>
      <c r="B469" s="34"/>
      <c r="C469" s="34"/>
      <c r="D469" s="34"/>
      <c r="E469" s="35"/>
      <c r="F469" s="34"/>
      <c r="G469" s="36" t="str">
        <f t="shared" si="7"/>
        <v/>
      </c>
    </row>
    <row r="470" spans="1:7" x14ac:dyDescent="0.25">
      <c r="A470" s="33"/>
      <c r="B470" s="34"/>
      <c r="C470" s="34"/>
      <c r="D470" s="34"/>
      <c r="E470" s="35"/>
      <c r="F470" s="34"/>
      <c r="G470" s="36" t="str">
        <f t="shared" si="7"/>
        <v/>
      </c>
    </row>
    <row r="471" spans="1:7" x14ac:dyDescent="0.25">
      <c r="A471" s="33"/>
      <c r="B471" s="34"/>
      <c r="C471" s="34"/>
      <c r="D471" s="34"/>
      <c r="E471" s="35"/>
      <c r="F471" s="34"/>
      <c r="G471" s="36" t="str">
        <f t="shared" si="7"/>
        <v/>
      </c>
    </row>
    <row r="472" spans="1:7" x14ac:dyDescent="0.25">
      <c r="A472" s="33"/>
      <c r="B472" s="34"/>
      <c r="C472" s="34"/>
      <c r="D472" s="34"/>
      <c r="E472" s="35"/>
      <c r="F472" s="34"/>
      <c r="G472" s="36" t="str">
        <f t="shared" si="7"/>
        <v/>
      </c>
    </row>
    <row r="473" spans="1:7" x14ac:dyDescent="0.25">
      <c r="A473" s="33"/>
      <c r="B473" s="34"/>
      <c r="C473" s="34"/>
      <c r="D473" s="34"/>
      <c r="E473" s="35"/>
      <c r="F473" s="34"/>
      <c r="G473" s="36" t="str">
        <f t="shared" si="7"/>
        <v/>
      </c>
    </row>
    <row r="474" spans="1:7" x14ac:dyDescent="0.25">
      <c r="A474" s="33"/>
      <c r="B474" s="34"/>
      <c r="C474" s="34"/>
      <c r="D474" s="34"/>
      <c r="E474" s="35"/>
      <c r="F474" s="34"/>
      <c r="G474" s="36" t="str">
        <f t="shared" si="7"/>
        <v/>
      </c>
    </row>
    <row r="475" spans="1:7" x14ac:dyDescent="0.25">
      <c r="A475" s="33"/>
      <c r="B475" s="34"/>
      <c r="C475" s="34"/>
      <c r="D475" s="34"/>
      <c r="E475" s="35"/>
      <c r="F475" s="34"/>
      <c r="G475" s="36" t="str">
        <f t="shared" si="7"/>
        <v/>
      </c>
    </row>
    <row r="476" spans="1:7" x14ac:dyDescent="0.25">
      <c r="A476" s="33"/>
      <c r="B476" s="34"/>
      <c r="C476" s="34"/>
      <c r="D476" s="34"/>
      <c r="E476" s="35"/>
      <c r="F476" s="34"/>
      <c r="G476" s="36" t="str">
        <f t="shared" si="7"/>
        <v/>
      </c>
    </row>
    <row r="477" spans="1:7" x14ac:dyDescent="0.25">
      <c r="A477" s="33"/>
      <c r="B477" s="34"/>
      <c r="C477" s="34"/>
      <c r="D477" s="34"/>
      <c r="E477" s="35"/>
      <c r="F477" s="34"/>
      <c r="G477" s="36" t="str">
        <f t="shared" si="7"/>
        <v/>
      </c>
    </row>
    <row r="478" spans="1:7" x14ac:dyDescent="0.25">
      <c r="A478" s="33"/>
      <c r="B478" s="34"/>
      <c r="C478" s="34"/>
      <c r="D478" s="34"/>
      <c r="E478" s="35"/>
      <c r="F478" s="34"/>
      <c r="G478" s="36" t="str">
        <f t="shared" si="7"/>
        <v/>
      </c>
    </row>
    <row r="479" spans="1:7" x14ac:dyDescent="0.25">
      <c r="A479" s="33"/>
      <c r="B479" s="34"/>
      <c r="C479" s="34"/>
      <c r="D479" s="34"/>
      <c r="E479" s="35"/>
      <c r="F479" s="34"/>
      <c r="G479" s="36" t="str">
        <f t="shared" si="7"/>
        <v/>
      </c>
    </row>
    <row r="480" spans="1:7" x14ac:dyDescent="0.25">
      <c r="A480" s="33"/>
      <c r="B480" s="34"/>
      <c r="C480" s="34"/>
      <c r="D480" s="34"/>
      <c r="E480" s="35"/>
      <c r="F480" s="34"/>
      <c r="G480" s="36" t="str">
        <f t="shared" si="7"/>
        <v/>
      </c>
    </row>
    <row r="481" spans="1:7" x14ac:dyDescent="0.25">
      <c r="A481" s="33"/>
      <c r="B481" s="34"/>
      <c r="C481" s="34"/>
      <c r="D481" s="34"/>
      <c r="E481" s="35"/>
      <c r="F481" s="34"/>
      <c r="G481" s="36" t="str">
        <f t="shared" si="7"/>
        <v/>
      </c>
    </row>
    <row r="482" spans="1:7" x14ac:dyDescent="0.25">
      <c r="A482" s="33"/>
      <c r="B482" s="34"/>
      <c r="C482" s="34"/>
      <c r="D482" s="34"/>
      <c r="E482" s="35"/>
      <c r="F482" s="34"/>
      <c r="G482" s="36" t="str">
        <f t="shared" si="7"/>
        <v/>
      </c>
    </row>
    <row r="483" spans="1:7" x14ac:dyDescent="0.25">
      <c r="A483" s="33"/>
      <c r="B483" s="34"/>
      <c r="C483" s="34"/>
      <c r="D483" s="34"/>
      <c r="E483" s="35"/>
      <c r="F483" s="34"/>
      <c r="G483" s="36" t="str">
        <f t="shared" si="7"/>
        <v/>
      </c>
    </row>
    <row r="484" spans="1:7" x14ac:dyDescent="0.25">
      <c r="A484" s="33"/>
      <c r="B484" s="34"/>
      <c r="C484" s="34"/>
      <c r="D484" s="34"/>
      <c r="E484" s="35"/>
      <c r="F484" s="34"/>
      <c r="G484" s="36" t="str">
        <f t="shared" si="7"/>
        <v/>
      </c>
    </row>
    <row r="485" spans="1:7" x14ac:dyDescent="0.25">
      <c r="A485" s="33"/>
      <c r="B485" s="34"/>
      <c r="C485" s="34"/>
      <c r="D485" s="34"/>
      <c r="E485" s="35"/>
      <c r="F485" s="34"/>
      <c r="G485" s="36" t="str">
        <f t="shared" si="7"/>
        <v/>
      </c>
    </row>
    <row r="486" spans="1:7" x14ac:dyDescent="0.25">
      <c r="A486" s="33"/>
      <c r="B486" s="34"/>
      <c r="C486" s="34"/>
      <c r="D486" s="34"/>
      <c r="E486" s="35"/>
      <c r="F486" s="34"/>
      <c r="G486" s="36" t="str">
        <f t="shared" si="7"/>
        <v/>
      </c>
    </row>
    <row r="487" spans="1:7" x14ac:dyDescent="0.25">
      <c r="A487" s="33"/>
      <c r="B487" s="34"/>
      <c r="C487" s="34"/>
      <c r="D487" s="34"/>
      <c r="E487" s="35"/>
      <c r="F487" s="34"/>
      <c r="G487" s="36" t="str">
        <f t="shared" si="7"/>
        <v/>
      </c>
    </row>
    <row r="488" spans="1:7" x14ac:dyDescent="0.25">
      <c r="A488" s="33"/>
      <c r="B488" s="34"/>
      <c r="C488" s="34"/>
      <c r="D488" s="34"/>
      <c r="E488" s="35"/>
      <c r="F488" s="34"/>
      <c r="G488" s="36" t="str">
        <f t="shared" si="7"/>
        <v/>
      </c>
    </row>
    <row r="489" spans="1:7" x14ac:dyDescent="0.25">
      <c r="A489" s="33"/>
      <c r="B489" s="34"/>
      <c r="C489" s="34"/>
      <c r="D489" s="34"/>
      <c r="E489" s="35"/>
      <c r="F489" s="34"/>
      <c r="G489" s="36" t="str">
        <f t="shared" si="7"/>
        <v/>
      </c>
    </row>
    <row r="490" spans="1:7" x14ac:dyDescent="0.25">
      <c r="A490" s="33"/>
      <c r="B490" s="34"/>
      <c r="C490" s="34"/>
      <c r="D490" s="34"/>
      <c r="E490" s="35"/>
      <c r="F490" s="34"/>
      <c r="G490" s="36" t="str">
        <f t="shared" si="7"/>
        <v/>
      </c>
    </row>
    <row r="491" spans="1:7" x14ac:dyDescent="0.25">
      <c r="A491" s="33"/>
      <c r="B491" s="34"/>
      <c r="C491" s="34"/>
      <c r="D491" s="34"/>
      <c r="E491" s="35"/>
      <c r="F491" s="34"/>
      <c r="G491" s="36" t="str">
        <f t="shared" si="7"/>
        <v/>
      </c>
    </row>
    <row r="492" spans="1:7" x14ac:dyDescent="0.25">
      <c r="A492" s="33"/>
      <c r="B492" s="34"/>
      <c r="C492" s="34"/>
      <c r="D492" s="34"/>
      <c r="E492" s="35"/>
      <c r="F492" s="34"/>
      <c r="G492" s="36" t="str">
        <f t="shared" si="7"/>
        <v/>
      </c>
    </row>
    <row r="493" spans="1:7" x14ac:dyDescent="0.25">
      <c r="A493" s="33"/>
      <c r="B493" s="34"/>
      <c r="C493" s="34"/>
      <c r="D493" s="34"/>
      <c r="E493" s="35"/>
      <c r="F493" s="34"/>
      <c r="G493" s="36" t="str">
        <f t="shared" si="7"/>
        <v/>
      </c>
    </row>
    <row r="494" spans="1:7" x14ac:dyDescent="0.25">
      <c r="A494" s="33"/>
      <c r="B494" s="34"/>
      <c r="C494" s="34"/>
      <c r="D494" s="34"/>
      <c r="E494" s="35"/>
      <c r="F494" s="34"/>
      <c r="G494" s="36" t="str">
        <f t="shared" si="7"/>
        <v/>
      </c>
    </row>
    <row r="495" spans="1:7" x14ac:dyDescent="0.25">
      <c r="A495" s="33"/>
      <c r="B495" s="34"/>
      <c r="C495" s="34"/>
      <c r="D495" s="34"/>
      <c r="E495" s="35"/>
      <c r="F495" s="34"/>
      <c r="G495" s="36" t="str">
        <f t="shared" si="7"/>
        <v/>
      </c>
    </row>
    <row r="496" spans="1:7" x14ac:dyDescent="0.25">
      <c r="A496" s="33"/>
      <c r="B496" s="34"/>
      <c r="C496" s="34"/>
      <c r="D496" s="34"/>
      <c r="E496" s="35"/>
      <c r="F496" s="34"/>
      <c r="G496" s="36" t="str">
        <f t="shared" si="7"/>
        <v/>
      </c>
    </row>
    <row r="497" spans="1:7" x14ac:dyDescent="0.25">
      <c r="A497" s="33"/>
      <c r="B497" s="34"/>
      <c r="C497" s="34"/>
      <c r="D497" s="34"/>
      <c r="E497" s="35"/>
      <c r="F497" s="34"/>
      <c r="G497" s="36" t="str">
        <f t="shared" si="7"/>
        <v/>
      </c>
    </row>
    <row r="498" spans="1:7" x14ac:dyDescent="0.25">
      <c r="A498" s="33"/>
      <c r="B498" s="34"/>
      <c r="C498" s="34"/>
      <c r="D498" s="34"/>
      <c r="E498" s="35"/>
      <c r="F498" s="34"/>
      <c r="G498" s="36" t="str">
        <f t="shared" si="7"/>
        <v/>
      </c>
    </row>
    <row r="499" spans="1:7" x14ac:dyDescent="0.25">
      <c r="A499" s="33"/>
      <c r="B499" s="34"/>
      <c r="C499" s="34"/>
      <c r="D499" s="34"/>
      <c r="E499" s="35"/>
      <c r="F499" s="34"/>
      <c r="G499" s="36" t="str">
        <f t="shared" si="7"/>
        <v/>
      </c>
    </row>
    <row r="500" spans="1:7" x14ac:dyDescent="0.25">
      <c r="A500" s="33"/>
      <c r="B500" s="34"/>
      <c r="C500" s="34"/>
      <c r="D500" s="34"/>
      <c r="E500" s="35"/>
      <c r="F500" s="34"/>
      <c r="G500" s="36" t="str">
        <f t="shared" si="7"/>
        <v/>
      </c>
    </row>
    <row r="501" spans="1:7" x14ac:dyDescent="0.25">
      <c r="A501" s="33"/>
      <c r="B501" s="34"/>
      <c r="C501" s="34"/>
      <c r="D501" s="34"/>
      <c r="E501" s="35"/>
      <c r="F501" s="34"/>
      <c r="G501" s="36" t="str">
        <f t="shared" si="7"/>
        <v/>
      </c>
    </row>
    <row r="502" spans="1:7" x14ac:dyDescent="0.25">
      <c r="A502" s="33"/>
      <c r="B502" s="34"/>
      <c r="C502" s="34"/>
      <c r="D502" s="34"/>
      <c r="E502" s="35"/>
      <c r="F502" s="34"/>
      <c r="G502" s="36" t="str">
        <f t="shared" si="7"/>
        <v/>
      </c>
    </row>
    <row r="503" spans="1:7" x14ac:dyDescent="0.25">
      <c r="A503" s="33"/>
      <c r="B503" s="34"/>
      <c r="C503" s="34"/>
      <c r="D503" s="34"/>
      <c r="E503" s="35"/>
      <c r="F503" s="34"/>
      <c r="G503" s="36" t="str">
        <f t="shared" si="7"/>
        <v/>
      </c>
    </row>
    <row r="504" spans="1:7" x14ac:dyDescent="0.25">
      <c r="A504" s="33"/>
      <c r="B504" s="34"/>
      <c r="C504" s="34"/>
      <c r="D504" s="34"/>
      <c r="E504" s="35"/>
      <c r="F504" s="34"/>
      <c r="G504" s="36" t="str">
        <f t="shared" si="7"/>
        <v/>
      </c>
    </row>
    <row r="505" spans="1:7" x14ac:dyDescent="0.25">
      <c r="A505" s="33"/>
      <c r="B505" s="34"/>
      <c r="C505" s="34"/>
      <c r="D505" s="34"/>
      <c r="E505" s="35"/>
      <c r="F505" s="34"/>
      <c r="G505" s="36" t="str">
        <f t="shared" si="7"/>
        <v/>
      </c>
    </row>
    <row r="506" spans="1:7" x14ac:dyDescent="0.25">
      <c r="A506" s="33"/>
      <c r="B506" s="34"/>
      <c r="C506" s="34"/>
      <c r="D506" s="34"/>
      <c r="E506" s="35"/>
      <c r="F506" s="34"/>
      <c r="G506" s="36" t="str">
        <f t="shared" si="7"/>
        <v/>
      </c>
    </row>
    <row r="507" spans="1:7" x14ac:dyDescent="0.25">
      <c r="A507" s="33"/>
      <c r="B507" s="34"/>
      <c r="C507" s="34"/>
      <c r="D507" s="34"/>
      <c r="E507" s="35"/>
      <c r="F507" s="34"/>
      <c r="G507" s="36" t="str">
        <f t="shared" si="7"/>
        <v/>
      </c>
    </row>
    <row r="508" spans="1:7" x14ac:dyDescent="0.25">
      <c r="A508" s="33"/>
      <c r="B508" s="34"/>
      <c r="C508" s="34"/>
      <c r="D508" s="34"/>
      <c r="E508" s="35"/>
      <c r="F508" s="34"/>
      <c r="G508" s="36" t="str">
        <f t="shared" si="7"/>
        <v/>
      </c>
    </row>
    <row r="509" spans="1:7" x14ac:dyDescent="0.25">
      <c r="A509" s="33"/>
      <c r="B509" s="34"/>
      <c r="C509" s="34"/>
      <c r="D509" s="34"/>
      <c r="E509" s="35"/>
      <c r="F509" s="34"/>
      <c r="G509" s="36" t="str">
        <f t="shared" si="7"/>
        <v/>
      </c>
    </row>
    <row r="510" spans="1:7" x14ac:dyDescent="0.25">
      <c r="A510" s="33"/>
      <c r="B510" s="34"/>
      <c r="C510" s="34"/>
      <c r="D510" s="34"/>
      <c r="E510" s="35"/>
      <c r="F510" s="34"/>
      <c r="G510" s="36" t="str">
        <f t="shared" si="7"/>
        <v/>
      </c>
    </row>
    <row r="511" spans="1:7" x14ac:dyDescent="0.25">
      <c r="A511" s="33"/>
      <c r="B511" s="34"/>
      <c r="C511" s="34"/>
      <c r="D511" s="34"/>
      <c r="E511" s="35"/>
      <c r="F511" s="34"/>
      <c r="G511" s="36" t="str">
        <f t="shared" si="7"/>
        <v/>
      </c>
    </row>
    <row r="512" spans="1:7" x14ac:dyDescent="0.25">
      <c r="A512" s="33"/>
      <c r="B512" s="34"/>
      <c r="C512" s="34"/>
      <c r="D512" s="34"/>
      <c r="E512" s="35"/>
      <c r="F512" s="34"/>
      <c r="G512" s="36" t="str">
        <f t="shared" si="7"/>
        <v/>
      </c>
    </row>
    <row r="513" spans="1:7" x14ac:dyDescent="0.25">
      <c r="A513" s="33"/>
      <c r="B513" s="34"/>
      <c r="C513" s="34"/>
      <c r="D513" s="34"/>
      <c r="E513" s="35"/>
      <c r="F513" s="34"/>
      <c r="G513" s="36" t="str">
        <f t="shared" si="7"/>
        <v/>
      </c>
    </row>
    <row r="514" spans="1:7" x14ac:dyDescent="0.25">
      <c r="A514" s="33"/>
      <c r="B514" s="34"/>
      <c r="C514" s="34"/>
      <c r="D514" s="34"/>
      <c r="E514" s="35"/>
      <c r="F514" s="34"/>
      <c r="G514" s="36" t="str">
        <f t="shared" si="7"/>
        <v/>
      </c>
    </row>
    <row r="515" spans="1:7" x14ac:dyDescent="0.25">
      <c r="A515" s="33"/>
      <c r="B515" s="34"/>
      <c r="C515" s="34"/>
      <c r="D515" s="34"/>
      <c r="E515" s="35"/>
      <c r="F515" s="34"/>
      <c r="G515" s="36" t="str">
        <f t="shared" si="7"/>
        <v/>
      </c>
    </row>
    <row r="516" spans="1:7" x14ac:dyDescent="0.25">
      <c r="A516" s="33"/>
      <c r="B516" s="34"/>
      <c r="C516" s="34"/>
      <c r="D516" s="34"/>
      <c r="E516" s="35"/>
      <c r="F516" s="34"/>
      <c r="G516" s="36" t="str">
        <f t="shared" si="7"/>
        <v/>
      </c>
    </row>
    <row r="517" spans="1:7" x14ac:dyDescent="0.25">
      <c r="A517" s="33"/>
      <c r="B517" s="34"/>
      <c r="C517" s="34"/>
      <c r="D517" s="34"/>
      <c r="E517" s="35"/>
      <c r="F517" s="34"/>
      <c r="G517" s="36" t="str">
        <f t="shared" si="7"/>
        <v/>
      </c>
    </row>
    <row r="518" spans="1:7" x14ac:dyDescent="0.25">
      <c r="A518" s="33"/>
      <c r="B518" s="34"/>
      <c r="C518" s="34"/>
      <c r="D518" s="34"/>
      <c r="E518" s="35"/>
      <c r="F518" s="34"/>
      <c r="G518" s="36" t="str">
        <f t="shared" ref="G518:G581" si="8">IF(A518="","",DATE(YEAR(A518),MONTH(A518),1))</f>
        <v/>
      </c>
    </row>
    <row r="519" spans="1:7" x14ac:dyDescent="0.25">
      <c r="A519" s="33"/>
      <c r="B519" s="34"/>
      <c r="C519" s="34"/>
      <c r="D519" s="34"/>
      <c r="E519" s="35"/>
      <c r="F519" s="34"/>
      <c r="G519" s="36" t="str">
        <f t="shared" si="8"/>
        <v/>
      </c>
    </row>
    <row r="520" spans="1:7" x14ac:dyDescent="0.25">
      <c r="A520" s="33"/>
      <c r="B520" s="34"/>
      <c r="C520" s="34"/>
      <c r="D520" s="34"/>
      <c r="E520" s="35"/>
      <c r="F520" s="34"/>
      <c r="G520" s="36" t="str">
        <f t="shared" si="8"/>
        <v/>
      </c>
    </row>
    <row r="521" spans="1:7" x14ac:dyDescent="0.25">
      <c r="A521" s="33"/>
      <c r="B521" s="34"/>
      <c r="C521" s="34"/>
      <c r="D521" s="34"/>
      <c r="E521" s="35"/>
      <c r="F521" s="34"/>
      <c r="G521" s="36" t="str">
        <f t="shared" si="8"/>
        <v/>
      </c>
    </row>
    <row r="522" spans="1:7" x14ac:dyDescent="0.25">
      <c r="A522" s="33"/>
      <c r="B522" s="34"/>
      <c r="C522" s="34"/>
      <c r="D522" s="34"/>
      <c r="E522" s="35"/>
      <c r="F522" s="34"/>
      <c r="G522" s="36" t="str">
        <f t="shared" si="8"/>
        <v/>
      </c>
    </row>
    <row r="523" spans="1:7" x14ac:dyDescent="0.25">
      <c r="A523" s="33"/>
      <c r="B523" s="34"/>
      <c r="C523" s="34"/>
      <c r="D523" s="34"/>
      <c r="E523" s="35"/>
      <c r="F523" s="34"/>
      <c r="G523" s="36" t="str">
        <f t="shared" si="8"/>
        <v/>
      </c>
    </row>
    <row r="524" spans="1:7" x14ac:dyDescent="0.25">
      <c r="A524" s="33"/>
      <c r="B524" s="34"/>
      <c r="C524" s="34"/>
      <c r="D524" s="34"/>
      <c r="E524" s="35"/>
      <c r="F524" s="34"/>
      <c r="G524" s="36" t="str">
        <f t="shared" si="8"/>
        <v/>
      </c>
    </row>
    <row r="525" spans="1:7" x14ac:dyDescent="0.25">
      <c r="A525" s="33"/>
      <c r="B525" s="34"/>
      <c r="C525" s="34"/>
      <c r="D525" s="34"/>
      <c r="E525" s="35"/>
      <c r="F525" s="34"/>
      <c r="G525" s="36" t="str">
        <f t="shared" si="8"/>
        <v/>
      </c>
    </row>
    <row r="526" spans="1:7" x14ac:dyDescent="0.25">
      <c r="A526" s="33"/>
      <c r="B526" s="34"/>
      <c r="C526" s="34"/>
      <c r="D526" s="34"/>
      <c r="E526" s="35"/>
      <c r="F526" s="34"/>
      <c r="G526" s="36" t="str">
        <f t="shared" si="8"/>
        <v/>
      </c>
    </row>
    <row r="527" spans="1:7" x14ac:dyDescent="0.25">
      <c r="A527" s="33"/>
      <c r="B527" s="34"/>
      <c r="C527" s="34"/>
      <c r="D527" s="34"/>
      <c r="E527" s="35"/>
      <c r="F527" s="34"/>
      <c r="G527" s="36" t="str">
        <f t="shared" si="8"/>
        <v/>
      </c>
    </row>
    <row r="528" spans="1:7" x14ac:dyDescent="0.25">
      <c r="A528" s="33"/>
      <c r="B528" s="34"/>
      <c r="C528" s="34"/>
      <c r="D528" s="34"/>
      <c r="E528" s="35"/>
      <c r="F528" s="34"/>
      <c r="G528" s="36" t="str">
        <f t="shared" si="8"/>
        <v/>
      </c>
    </row>
    <row r="529" spans="1:7" x14ac:dyDescent="0.25">
      <c r="A529" s="33"/>
      <c r="B529" s="34"/>
      <c r="C529" s="34"/>
      <c r="D529" s="34"/>
      <c r="E529" s="35"/>
      <c r="F529" s="34"/>
      <c r="G529" s="36" t="str">
        <f t="shared" si="8"/>
        <v/>
      </c>
    </row>
    <row r="530" spans="1:7" x14ac:dyDescent="0.25">
      <c r="A530" s="33"/>
      <c r="B530" s="34"/>
      <c r="C530" s="34"/>
      <c r="D530" s="34"/>
      <c r="E530" s="35"/>
      <c r="F530" s="34"/>
      <c r="G530" s="36" t="str">
        <f t="shared" si="8"/>
        <v/>
      </c>
    </row>
    <row r="531" spans="1:7" x14ac:dyDescent="0.25">
      <c r="A531" s="33"/>
      <c r="B531" s="34"/>
      <c r="C531" s="34"/>
      <c r="D531" s="34"/>
      <c r="E531" s="35"/>
      <c r="F531" s="34"/>
      <c r="G531" s="36" t="str">
        <f t="shared" si="8"/>
        <v/>
      </c>
    </row>
    <row r="532" spans="1:7" x14ac:dyDescent="0.25">
      <c r="A532" s="33"/>
      <c r="B532" s="34"/>
      <c r="C532" s="34"/>
      <c r="D532" s="34"/>
      <c r="E532" s="35"/>
      <c r="F532" s="34"/>
      <c r="G532" s="36" t="str">
        <f t="shared" si="8"/>
        <v/>
      </c>
    </row>
    <row r="533" spans="1:7" x14ac:dyDescent="0.25">
      <c r="A533" s="33"/>
      <c r="B533" s="34"/>
      <c r="C533" s="34"/>
      <c r="D533" s="34"/>
      <c r="E533" s="35"/>
      <c r="F533" s="34"/>
      <c r="G533" s="36" t="str">
        <f t="shared" si="8"/>
        <v/>
      </c>
    </row>
    <row r="534" spans="1:7" x14ac:dyDescent="0.25">
      <c r="A534" s="33"/>
      <c r="B534" s="34"/>
      <c r="C534" s="34"/>
      <c r="D534" s="34"/>
      <c r="E534" s="35"/>
      <c r="F534" s="34"/>
      <c r="G534" s="36" t="str">
        <f t="shared" si="8"/>
        <v/>
      </c>
    </row>
    <row r="535" spans="1:7" x14ac:dyDescent="0.25">
      <c r="A535" s="33"/>
      <c r="B535" s="34"/>
      <c r="C535" s="34"/>
      <c r="D535" s="34"/>
      <c r="E535" s="35"/>
      <c r="F535" s="34"/>
      <c r="G535" s="36" t="str">
        <f t="shared" si="8"/>
        <v/>
      </c>
    </row>
    <row r="536" spans="1:7" x14ac:dyDescent="0.25">
      <c r="A536" s="33"/>
      <c r="B536" s="34"/>
      <c r="C536" s="34"/>
      <c r="D536" s="34"/>
      <c r="E536" s="35"/>
      <c r="F536" s="34"/>
      <c r="G536" s="36" t="str">
        <f t="shared" si="8"/>
        <v/>
      </c>
    </row>
    <row r="537" spans="1:7" x14ac:dyDescent="0.25">
      <c r="A537" s="33"/>
      <c r="B537" s="34"/>
      <c r="C537" s="34"/>
      <c r="D537" s="34"/>
      <c r="E537" s="35"/>
      <c r="F537" s="34"/>
      <c r="G537" s="36" t="str">
        <f t="shared" si="8"/>
        <v/>
      </c>
    </row>
    <row r="538" spans="1:7" x14ac:dyDescent="0.25">
      <c r="A538" s="33"/>
      <c r="B538" s="34"/>
      <c r="C538" s="34"/>
      <c r="D538" s="34"/>
      <c r="E538" s="35"/>
      <c r="F538" s="34"/>
      <c r="G538" s="36" t="str">
        <f t="shared" si="8"/>
        <v/>
      </c>
    </row>
    <row r="539" spans="1:7" x14ac:dyDescent="0.25">
      <c r="A539" s="33"/>
      <c r="B539" s="34"/>
      <c r="C539" s="34"/>
      <c r="D539" s="34"/>
      <c r="E539" s="35"/>
      <c r="F539" s="34"/>
      <c r="G539" s="36" t="str">
        <f t="shared" si="8"/>
        <v/>
      </c>
    </row>
    <row r="540" spans="1:7" x14ac:dyDescent="0.25">
      <c r="A540" s="33"/>
      <c r="B540" s="34"/>
      <c r="C540" s="34"/>
      <c r="D540" s="34"/>
      <c r="E540" s="35"/>
      <c r="F540" s="34"/>
      <c r="G540" s="36" t="str">
        <f t="shared" si="8"/>
        <v/>
      </c>
    </row>
    <row r="541" spans="1:7" x14ac:dyDescent="0.25">
      <c r="A541" s="33"/>
      <c r="B541" s="34"/>
      <c r="C541" s="34"/>
      <c r="D541" s="34"/>
      <c r="E541" s="35"/>
      <c r="F541" s="34"/>
      <c r="G541" s="36" t="str">
        <f t="shared" si="8"/>
        <v/>
      </c>
    </row>
    <row r="542" spans="1:7" x14ac:dyDescent="0.25">
      <c r="A542" s="33"/>
      <c r="B542" s="34"/>
      <c r="C542" s="34"/>
      <c r="D542" s="34"/>
      <c r="E542" s="35"/>
      <c r="F542" s="34"/>
      <c r="G542" s="36" t="str">
        <f t="shared" si="8"/>
        <v/>
      </c>
    </row>
    <row r="543" spans="1:7" x14ac:dyDescent="0.25">
      <c r="A543" s="33"/>
      <c r="B543" s="34"/>
      <c r="C543" s="34"/>
      <c r="D543" s="34"/>
      <c r="E543" s="35"/>
      <c r="F543" s="34"/>
      <c r="G543" s="36" t="str">
        <f t="shared" si="8"/>
        <v/>
      </c>
    </row>
    <row r="544" spans="1:7" x14ac:dyDescent="0.25">
      <c r="A544" s="33"/>
      <c r="B544" s="34"/>
      <c r="C544" s="34"/>
      <c r="D544" s="34"/>
      <c r="E544" s="35"/>
      <c r="F544" s="34"/>
      <c r="G544" s="36" t="str">
        <f t="shared" si="8"/>
        <v/>
      </c>
    </row>
    <row r="545" spans="1:7" x14ac:dyDescent="0.25">
      <c r="A545" s="33"/>
      <c r="B545" s="34"/>
      <c r="C545" s="34"/>
      <c r="D545" s="34"/>
      <c r="E545" s="35"/>
      <c r="F545" s="34"/>
      <c r="G545" s="36" t="str">
        <f t="shared" si="8"/>
        <v/>
      </c>
    </row>
    <row r="546" spans="1:7" x14ac:dyDescent="0.25">
      <c r="A546" s="33"/>
      <c r="B546" s="34"/>
      <c r="C546" s="34"/>
      <c r="D546" s="34"/>
      <c r="E546" s="35"/>
      <c r="F546" s="34"/>
      <c r="G546" s="36" t="str">
        <f t="shared" si="8"/>
        <v/>
      </c>
    </row>
    <row r="547" spans="1:7" x14ac:dyDescent="0.25">
      <c r="A547" s="33"/>
      <c r="B547" s="34"/>
      <c r="C547" s="34"/>
      <c r="D547" s="34"/>
      <c r="E547" s="35"/>
      <c r="F547" s="34"/>
      <c r="G547" s="36" t="str">
        <f t="shared" si="8"/>
        <v/>
      </c>
    </row>
    <row r="548" spans="1:7" x14ac:dyDescent="0.25">
      <c r="A548" s="33"/>
      <c r="B548" s="34"/>
      <c r="C548" s="34"/>
      <c r="D548" s="34"/>
      <c r="E548" s="35"/>
      <c r="F548" s="34"/>
      <c r="G548" s="36" t="str">
        <f t="shared" si="8"/>
        <v/>
      </c>
    </row>
    <row r="549" spans="1:7" x14ac:dyDescent="0.25">
      <c r="A549" s="33"/>
      <c r="B549" s="34"/>
      <c r="C549" s="34"/>
      <c r="D549" s="34"/>
      <c r="E549" s="35"/>
      <c r="F549" s="34"/>
      <c r="G549" s="36" t="str">
        <f t="shared" si="8"/>
        <v/>
      </c>
    </row>
    <row r="550" spans="1:7" x14ac:dyDescent="0.25">
      <c r="A550" s="33"/>
      <c r="B550" s="34"/>
      <c r="C550" s="34"/>
      <c r="D550" s="34"/>
      <c r="E550" s="35"/>
      <c r="F550" s="34"/>
      <c r="G550" s="36" t="str">
        <f t="shared" si="8"/>
        <v/>
      </c>
    </row>
    <row r="551" spans="1:7" x14ac:dyDescent="0.25">
      <c r="A551" s="33"/>
      <c r="B551" s="34"/>
      <c r="C551" s="34"/>
      <c r="D551" s="34"/>
      <c r="E551" s="35"/>
      <c r="F551" s="34"/>
      <c r="G551" s="36" t="str">
        <f t="shared" si="8"/>
        <v/>
      </c>
    </row>
    <row r="552" spans="1:7" x14ac:dyDescent="0.25">
      <c r="A552" s="33"/>
      <c r="B552" s="34"/>
      <c r="C552" s="34"/>
      <c r="D552" s="34"/>
      <c r="E552" s="35"/>
      <c r="F552" s="34"/>
      <c r="G552" s="36" t="str">
        <f t="shared" si="8"/>
        <v/>
      </c>
    </row>
    <row r="553" spans="1:7" x14ac:dyDescent="0.25">
      <c r="A553" s="33"/>
      <c r="B553" s="34"/>
      <c r="C553" s="34"/>
      <c r="D553" s="34"/>
      <c r="E553" s="35"/>
      <c r="F553" s="34"/>
      <c r="G553" s="36" t="str">
        <f t="shared" si="8"/>
        <v/>
      </c>
    </row>
    <row r="554" spans="1:7" x14ac:dyDescent="0.25">
      <c r="A554" s="33"/>
      <c r="B554" s="34"/>
      <c r="C554" s="34"/>
      <c r="D554" s="34"/>
      <c r="E554" s="35"/>
      <c r="F554" s="34"/>
      <c r="G554" s="36" t="str">
        <f t="shared" si="8"/>
        <v/>
      </c>
    </row>
    <row r="555" spans="1:7" x14ac:dyDescent="0.25">
      <c r="A555" s="33"/>
      <c r="B555" s="34"/>
      <c r="C555" s="34"/>
      <c r="D555" s="34"/>
      <c r="E555" s="35"/>
      <c r="F555" s="34"/>
      <c r="G555" s="36" t="str">
        <f t="shared" si="8"/>
        <v/>
      </c>
    </row>
    <row r="556" spans="1:7" x14ac:dyDescent="0.25">
      <c r="A556" s="33"/>
      <c r="B556" s="34"/>
      <c r="C556" s="34"/>
      <c r="D556" s="34"/>
      <c r="E556" s="35"/>
      <c r="F556" s="34"/>
      <c r="G556" s="36" t="str">
        <f t="shared" si="8"/>
        <v/>
      </c>
    </row>
    <row r="557" spans="1:7" x14ac:dyDescent="0.25">
      <c r="A557" s="33"/>
      <c r="B557" s="34"/>
      <c r="C557" s="34"/>
      <c r="D557" s="34"/>
      <c r="E557" s="35"/>
      <c r="F557" s="34"/>
      <c r="G557" s="36" t="str">
        <f t="shared" si="8"/>
        <v/>
      </c>
    </row>
    <row r="558" spans="1:7" x14ac:dyDescent="0.25">
      <c r="A558" s="33"/>
      <c r="B558" s="34"/>
      <c r="C558" s="34"/>
      <c r="D558" s="34"/>
      <c r="E558" s="35"/>
      <c r="F558" s="34"/>
      <c r="G558" s="36" t="str">
        <f t="shared" si="8"/>
        <v/>
      </c>
    </row>
    <row r="559" spans="1:7" x14ac:dyDescent="0.25">
      <c r="A559" s="33"/>
      <c r="B559" s="34"/>
      <c r="C559" s="34"/>
      <c r="D559" s="34"/>
      <c r="E559" s="35"/>
      <c r="F559" s="34"/>
      <c r="G559" s="36" t="str">
        <f t="shared" si="8"/>
        <v/>
      </c>
    </row>
    <row r="560" spans="1:7" x14ac:dyDescent="0.25">
      <c r="A560" s="33"/>
      <c r="B560" s="34"/>
      <c r="C560" s="34"/>
      <c r="D560" s="34"/>
      <c r="E560" s="35"/>
      <c r="F560" s="34"/>
      <c r="G560" s="36" t="str">
        <f t="shared" si="8"/>
        <v/>
      </c>
    </row>
    <row r="561" spans="1:7" x14ac:dyDescent="0.25">
      <c r="A561" s="33"/>
      <c r="B561" s="34"/>
      <c r="C561" s="34"/>
      <c r="D561" s="34"/>
      <c r="E561" s="35"/>
      <c r="F561" s="34"/>
      <c r="G561" s="36" t="str">
        <f t="shared" si="8"/>
        <v/>
      </c>
    </row>
    <row r="562" spans="1:7" x14ac:dyDescent="0.25">
      <c r="A562" s="33"/>
      <c r="B562" s="34"/>
      <c r="C562" s="34"/>
      <c r="D562" s="34"/>
      <c r="E562" s="35"/>
      <c r="F562" s="34"/>
      <c r="G562" s="36" t="str">
        <f t="shared" si="8"/>
        <v/>
      </c>
    </row>
    <row r="563" spans="1:7" x14ac:dyDescent="0.25">
      <c r="A563" s="33"/>
      <c r="B563" s="34"/>
      <c r="C563" s="34"/>
      <c r="D563" s="34"/>
      <c r="E563" s="35"/>
      <c r="F563" s="34"/>
      <c r="G563" s="36" t="str">
        <f t="shared" si="8"/>
        <v/>
      </c>
    </row>
    <row r="564" spans="1:7" x14ac:dyDescent="0.25">
      <c r="A564" s="33"/>
      <c r="B564" s="34"/>
      <c r="C564" s="34"/>
      <c r="D564" s="34"/>
      <c r="E564" s="35"/>
      <c r="F564" s="34"/>
      <c r="G564" s="36" t="str">
        <f t="shared" si="8"/>
        <v/>
      </c>
    </row>
    <row r="565" spans="1:7" x14ac:dyDescent="0.25">
      <c r="A565" s="33"/>
      <c r="B565" s="34"/>
      <c r="C565" s="34"/>
      <c r="D565" s="34"/>
      <c r="E565" s="35"/>
      <c r="F565" s="34"/>
      <c r="G565" s="36" t="str">
        <f t="shared" si="8"/>
        <v/>
      </c>
    </row>
    <row r="566" spans="1:7" x14ac:dyDescent="0.25">
      <c r="A566" s="33"/>
      <c r="B566" s="34"/>
      <c r="C566" s="34"/>
      <c r="D566" s="34"/>
      <c r="E566" s="35"/>
      <c r="F566" s="34"/>
      <c r="G566" s="36" t="str">
        <f t="shared" si="8"/>
        <v/>
      </c>
    </row>
    <row r="567" spans="1:7" x14ac:dyDescent="0.25">
      <c r="A567" s="33"/>
      <c r="B567" s="34"/>
      <c r="C567" s="34"/>
      <c r="D567" s="34"/>
      <c r="E567" s="35"/>
      <c r="F567" s="34"/>
      <c r="G567" s="36" t="str">
        <f t="shared" si="8"/>
        <v/>
      </c>
    </row>
    <row r="568" spans="1:7" x14ac:dyDescent="0.25">
      <c r="A568" s="33"/>
      <c r="B568" s="34"/>
      <c r="C568" s="34"/>
      <c r="D568" s="34"/>
      <c r="E568" s="35"/>
      <c r="F568" s="34"/>
      <c r="G568" s="36" t="str">
        <f t="shared" si="8"/>
        <v/>
      </c>
    </row>
    <row r="569" spans="1:7" x14ac:dyDescent="0.25">
      <c r="A569" s="33"/>
      <c r="B569" s="34"/>
      <c r="C569" s="34"/>
      <c r="D569" s="34"/>
      <c r="E569" s="35"/>
      <c r="F569" s="34"/>
      <c r="G569" s="36" t="str">
        <f t="shared" si="8"/>
        <v/>
      </c>
    </row>
    <row r="570" spans="1:7" x14ac:dyDescent="0.25">
      <c r="A570" s="33"/>
      <c r="B570" s="34"/>
      <c r="C570" s="34"/>
      <c r="D570" s="34"/>
      <c r="E570" s="35"/>
      <c r="F570" s="34"/>
      <c r="G570" s="36" t="str">
        <f t="shared" si="8"/>
        <v/>
      </c>
    </row>
    <row r="571" spans="1:7" x14ac:dyDescent="0.25">
      <c r="A571" s="33"/>
      <c r="B571" s="34"/>
      <c r="C571" s="34"/>
      <c r="D571" s="34"/>
      <c r="E571" s="35"/>
      <c r="F571" s="34"/>
      <c r="G571" s="36" t="str">
        <f t="shared" si="8"/>
        <v/>
      </c>
    </row>
    <row r="572" spans="1:7" x14ac:dyDescent="0.25">
      <c r="A572" s="33"/>
      <c r="B572" s="34"/>
      <c r="C572" s="34"/>
      <c r="D572" s="34"/>
      <c r="E572" s="35"/>
      <c r="F572" s="34"/>
      <c r="G572" s="36" t="str">
        <f t="shared" si="8"/>
        <v/>
      </c>
    </row>
    <row r="573" spans="1:7" x14ac:dyDescent="0.25">
      <c r="A573" s="33"/>
      <c r="B573" s="34"/>
      <c r="C573" s="34"/>
      <c r="D573" s="34"/>
      <c r="E573" s="35"/>
      <c r="F573" s="34"/>
      <c r="G573" s="36" t="str">
        <f t="shared" si="8"/>
        <v/>
      </c>
    </row>
    <row r="574" spans="1:7" x14ac:dyDescent="0.25">
      <c r="A574" s="33"/>
      <c r="B574" s="34"/>
      <c r="C574" s="34"/>
      <c r="D574" s="34"/>
      <c r="E574" s="35"/>
      <c r="F574" s="34"/>
      <c r="G574" s="36" t="str">
        <f t="shared" si="8"/>
        <v/>
      </c>
    </row>
    <row r="575" spans="1:7" x14ac:dyDescent="0.25">
      <c r="A575" s="33"/>
      <c r="B575" s="34"/>
      <c r="C575" s="34"/>
      <c r="D575" s="34"/>
      <c r="E575" s="35"/>
      <c r="F575" s="34"/>
      <c r="G575" s="36" t="str">
        <f t="shared" si="8"/>
        <v/>
      </c>
    </row>
    <row r="576" spans="1:7" x14ac:dyDescent="0.25">
      <c r="A576" s="33"/>
      <c r="B576" s="34"/>
      <c r="C576" s="34"/>
      <c r="D576" s="34"/>
      <c r="E576" s="35"/>
      <c r="F576" s="34"/>
      <c r="G576" s="36" t="str">
        <f t="shared" si="8"/>
        <v/>
      </c>
    </row>
    <row r="577" spans="1:7" x14ac:dyDescent="0.25">
      <c r="A577" s="33"/>
      <c r="B577" s="34"/>
      <c r="C577" s="34"/>
      <c r="D577" s="34"/>
      <c r="E577" s="35"/>
      <c r="F577" s="34"/>
      <c r="G577" s="36" t="str">
        <f t="shared" si="8"/>
        <v/>
      </c>
    </row>
    <row r="578" spans="1:7" x14ac:dyDescent="0.25">
      <c r="A578" s="33"/>
      <c r="B578" s="34"/>
      <c r="C578" s="34"/>
      <c r="D578" s="34"/>
      <c r="E578" s="35"/>
      <c r="F578" s="34"/>
      <c r="G578" s="36" t="str">
        <f t="shared" si="8"/>
        <v/>
      </c>
    </row>
    <row r="579" spans="1:7" x14ac:dyDescent="0.25">
      <c r="A579" s="33"/>
      <c r="B579" s="34"/>
      <c r="C579" s="34"/>
      <c r="D579" s="34"/>
      <c r="E579" s="35"/>
      <c r="F579" s="34"/>
      <c r="G579" s="36" t="str">
        <f t="shared" si="8"/>
        <v/>
      </c>
    </row>
    <row r="580" spans="1:7" x14ac:dyDescent="0.25">
      <c r="A580" s="33"/>
      <c r="B580" s="34"/>
      <c r="C580" s="34"/>
      <c r="D580" s="34"/>
      <c r="E580" s="35"/>
      <c r="F580" s="34"/>
      <c r="G580" s="36" t="str">
        <f t="shared" si="8"/>
        <v/>
      </c>
    </row>
    <row r="581" spans="1:7" x14ac:dyDescent="0.25">
      <c r="A581" s="33"/>
      <c r="B581" s="34"/>
      <c r="C581" s="34"/>
      <c r="D581" s="34"/>
      <c r="E581" s="35"/>
      <c r="F581" s="34"/>
      <c r="G581" s="36" t="str">
        <f t="shared" si="8"/>
        <v/>
      </c>
    </row>
    <row r="582" spans="1:7" x14ac:dyDescent="0.25">
      <c r="A582" s="33"/>
      <c r="B582" s="34"/>
      <c r="C582" s="34"/>
      <c r="D582" s="34"/>
      <c r="E582" s="35"/>
      <c r="F582" s="34"/>
      <c r="G582" s="36" t="str">
        <f t="shared" ref="G582:G645" si="9">IF(A582="","",DATE(YEAR(A582),MONTH(A582),1))</f>
        <v/>
      </c>
    </row>
    <row r="583" spans="1:7" x14ac:dyDescent="0.25">
      <c r="A583" s="33"/>
      <c r="B583" s="34"/>
      <c r="C583" s="34"/>
      <c r="D583" s="34"/>
      <c r="E583" s="35"/>
      <c r="F583" s="34"/>
      <c r="G583" s="36" t="str">
        <f t="shared" si="9"/>
        <v/>
      </c>
    </row>
    <row r="584" spans="1:7" x14ac:dyDescent="0.25">
      <c r="A584" s="33"/>
      <c r="B584" s="34"/>
      <c r="C584" s="34"/>
      <c r="D584" s="34"/>
      <c r="E584" s="35"/>
      <c r="F584" s="34"/>
      <c r="G584" s="36" t="str">
        <f t="shared" si="9"/>
        <v/>
      </c>
    </row>
    <row r="585" spans="1:7" x14ac:dyDescent="0.25">
      <c r="A585" s="33"/>
      <c r="B585" s="34"/>
      <c r="C585" s="34"/>
      <c r="D585" s="34"/>
      <c r="E585" s="35"/>
      <c r="F585" s="34"/>
      <c r="G585" s="36" t="str">
        <f t="shared" si="9"/>
        <v/>
      </c>
    </row>
    <row r="586" spans="1:7" x14ac:dyDescent="0.25">
      <c r="A586" s="33"/>
      <c r="B586" s="34"/>
      <c r="C586" s="34"/>
      <c r="D586" s="34"/>
      <c r="E586" s="35"/>
      <c r="F586" s="34"/>
      <c r="G586" s="36" t="str">
        <f t="shared" si="9"/>
        <v/>
      </c>
    </row>
    <row r="587" spans="1:7" x14ac:dyDescent="0.25">
      <c r="A587" s="33"/>
      <c r="B587" s="34"/>
      <c r="C587" s="34"/>
      <c r="D587" s="34"/>
      <c r="E587" s="35"/>
      <c r="F587" s="34"/>
      <c r="G587" s="36" t="str">
        <f t="shared" si="9"/>
        <v/>
      </c>
    </row>
    <row r="588" spans="1:7" x14ac:dyDescent="0.25">
      <c r="A588" s="33"/>
      <c r="B588" s="34"/>
      <c r="C588" s="34"/>
      <c r="D588" s="34"/>
      <c r="E588" s="35"/>
      <c r="F588" s="34"/>
      <c r="G588" s="36" t="str">
        <f t="shared" si="9"/>
        <v/>
      </c>
    </row>
    <row r="589" spans="1:7" x14ac:dyDescent="0.25">
      <c r="A589" s="33"/>
      <c r="B589" s="34"/>
      <c r="C589" s="34"/>
      <c r="D589" s="34"/>
      <c r="E589" s="35"/>
      <c r="F589" s="34"/>
      <c r="G589" s="36" t="str">
        <f t="shared" si="9"/>
        <v/>
      </c>
    </row>
    <row r="590" spans="1:7" x14ac:dyDescent="0.25">
      <c r="A590" s="33"/>
      <c r="B590" s="34"/>
      <c r="C590" s="34"/>
      <c r="D590" s="34"/>
      <c r="E590" s="35"/>
      <c r="F590" s="34"/>
      <c r="G590" s="36" t="str">
        <f t="shared" si="9"/>
        <v/>
      </c>
    </row>
    <row r="591" spans="1:7" x14ac:dyDescent="0.25">
      <c r="A591" s="33"/>
      <c r="B591" s="34"/>
      <c r="C591" s="34"/>
      <c r="D591" s="34"/>
      <c r="E591" s="35"/>
      <c r="F591" s="34"/>
      <c r="G591" s="36" t="str">
        <f t="shared" si="9"/>
        <v/>
      </c>
    </row>
    <row r="592" spans="1:7" x14ac:dyDescent="0.25">
      <c r="A592" s="33"/>
      <c r="B592" s="34"/>
      <c r="C592" s="34"/>
      <c r="D592" s="34"/>
      <c r="E592" s="35"/>
      <c r="F592" s="34"/>
      <c r="G592" s="36" t="str">
        <f t="shared" si="9"/>
        <v/>
      </c>
    </row>
    <row r="593" spans="1:7" x14ac:dyDescent="0.25">
      <c r="A593" s="33"/>
      <c r="B593" s="34"/>
      <c r="C593" s="34"/>
      <c r="D593" s="34"/>
      <c r="E593" s="35"/>
      <c r="F593" s="34"/>
      <c r="G593" s="36" t="str">
        <f t="shared" si="9"/>
        <v/>
      </c>
    </row>
    <row r="594" spans="1:7" x14ac:dyDescent="0.25">
      <c r="A594" s="33"/>
      <c r="B594" s="34"/>
      <c r="C594" s="34"/>
      <c r="D594" s="34"/>
      <c r="E594" s="35"/>
      <c r="F594" s="34"/>
      <c r="G594" s="36" t="str">
        <f t="shared" si="9"/>
        <v/>
      </c>
    </row>
    <row r="595" spans="1:7" x14ac:dyDescent="0.25">
      <c r="A595" s="33"/>
      <c r="B595" s="34"/>
      <c r="C595" s="34"/>
      <c r="D595" s="34"/>
      <c r="E595" s="35"/>
      <c r="F595" s="34"/>
      <c r="G595" s="36" t="str">
        <f t="shared" si="9"/>
        <v/>
      </c>
    </row>
    <row r="596" spans="1:7" x14ac:dyDescent="0.25">
      <c r="A596" s="33"/>
      <c r="B596" s="34"/>
      <c r="C596" s="34"/>
      <c r="D596" s="34"/>
      <c r="E596" s="35"/>
      <c r="F596" s="34"/>
      <c r="G596" s="36" t="str">
        <f t="shared" si="9"/>
        <v/>
      </c>
    </row>
    <row r="597" spans="1:7" x14ac:dyDescent="0.25">
      <c r="A597" s="33"/>
      <c r="B597" s="34"/>
      <c r="C597" s="34"/>
      <c r="D597" s="34"/>
      <c r="E597" s="35"/>
      <c r="F597" s="34"/>
      <c r="G597" s="36" t="str">
        <f t="shared" si="9"/>
        <v/>
      </c>
    </row>
    <row r="598" spans="1:7" x14ac:dyDescent="0.25">
      <c r="A598" s="33"/>
      <c r="B598" s="34"/>
      <c r="C598" s="34"/>
      <c r="D598" s="34"/>
      <c r="E598" s="35"/>
      <c r="F598" s="34"/>
      <c r="G598" s="36" t="str">
        <f t="shared" si="9"/>
        <v/>
      </c>
    </row>
    <row r="599" spans="1:7" x14ac:dyDescent="0.25">
      <c r="A599" s="33"/>
      <c r="B599" s="34"/>
      <c r="C599" s="34"/>
      <c r="D599" s="34"/>
      <c r="E599" s="35"/>
      <c r="F599" s="34"/>
      <c r="G599" s="36" t="str">
        <f t="shared" si="9"/>
        <v/>
      </c>
    </row>
    <row r="600" spans="1:7" x14ac:dyDescent="0.25">
      <c r="A600" s="33"/>
      <c r="B600" s="34"/>
      <c r="C600" s="34"/>
      <c r="D600" s="34"/>
      <c r="E600" s="35"/>
      <c r="F600" s="34"/>
      <c r="G600" s="36" t="str">
        <f t="shared" si="9"/>
        <v/>
      </c>
    </row>
    <row r="601" spans="1:7" x14ac:dyDescent="0.25">
      <c r="A601" s="33"/>
      <c r="B601" s="34"/>
      <c r="C601" s="34"/>
      <c r="D601" s="34"/>
      <c r="E601" s="35"/>
      <c r="F601" s="34"/>
      <c r="G601" s="36" t="str">
        <f t="shared" si="9"/>
        <v/>
      </c>
    </row>
    <row r="602" spans="1:7" x14ac:dyDescent="0.25">
      <c r="A602" s="33"/>
      <c r="B602" s="34"/>
      <c r="C602" s="34"/>
      <c r="D602" s="34"/>
      <c r="E602" s="35"/>
      <c r="F602" s="34"/>
      <c r="G602" s="36" t="str">
        <f t="shared" si="9"/>
        <v/>
      </c>
    </row>
    <row r="603" spans="1:7" x14ac:dyDescent="0.25">
      <c r="A603" s="33"/>
      <c r="B603" s="34"/>
      <c r="C603" s="34"/>
      <c r="D603" s="34"/>
      <c r="E603" s="35"/>
      <c r="F603" s="34"/>
      <c r="G603" s="36" t="str">
        <f t="shared" si="9"/>
        <v/>
      </c>
    </row>
    <row r="604" spans="1:7" x14ac:dyDescent="0.25">
      <c r="A604" s="33"/>
      <c r="B604" s="34"/>
      <c r="C604" s="34"/>
      <c r="D604" s="34"/>
      <c r="E604" s="35"/>
      <c r="F604" s="34"/>
      <c r="G604" s="36" t="str">
        <f t="shared" si="9"/>
        <v/>
      </c>
    </row>
    <row r="605" spans="1:7" x14ac:dyDescent="0.25">
      <c r="A605" s="33"/>
      <c r="B605" s="34"/>
      <c r="C605" s="34"/>
      <c r="D605" s="34"/>
      <c r="E605" s="35"/>
      <c r="F605" s="34"/>
      <c r="G605" s="36" t="str">
        <f t="shared" si="9"/>
        <v/>
      </c>
    </row>
    <row r="606" spans="1:7" x14ac:dyDescent="0.25">
      <c r="A606" s="33"/>
      <c r="B606" s="34"/>
      <c r="C606" s="34"/>
      <c r="D606" s="34"/>
      <c r="E606" s="35"/>
      <c r="F606" s="34"/>
      <c r="G606" s="36" t="str">
        <f t="shared" si="9"/>
        <v/>
      </c>
    </row>
    <row r="607" spans="1:7" x14ac:dyDescent="0.25">
      <c r="A607" s="33"/>
      <c r="B607" s="34"/>
      <c r="C607" s="34"/>
      <c r="D607" s="34"/>
      <c r="E607" s="35"/>
      <c r="F607" s="34"/>
      <c r="G607" s="36" t="str">
        <f t="shared" si="9"/>
        <v/>
      </c>
    </row>
    <row r="608" spans="1:7" x14ac:dyDescent="0.25">
      <c r="A608" s="33"/>
      <c r="B608" s="34"/>
      <c r="C608" s="34"/>
      <c r="D608" s="34"/>
      <c r="E608" s="35"/>
      <c r="F608" s="34"/>
      <c r="G608" s="36" t="str">
        <f t="shared" si="9"/>
        <v/>
      </c>
    </row>
    <row r="609" spans="1:7" x14ac:dyDescent="0.25">
      <c r="A609" s="33"/>
      <c r="B609" s="34"/>
      <c r="C609" s="34"/>
      <c r="D609" s="34"/>
      <c r="E609" s="35"/>
      <c r="F609" s="34"/>
      <c r="G609" s="36" t="str">
        <f t="shared" si="9"/>
        <v/>
      </c>
    </row>
    <row r="610" spans="1:7" x14ac:dyDescent="0.25">
      <c r="A610" s="33"/>
      <c r="B610" s="34"/>
      <c r="C610" s="34"/>
      <c r="D610" s="34"/>
      <c r="E610" s="35"/>
      <c r="F610" s="34"/>
      <c r="G610" s="36" t="str">
        <f t="shared" si="9"/>
        <v/>
      </c>
    </row>
    <row r="611" spans="1:7" x14ac:dyDescent="0.25">
      <c r="A611" s="33"/>
      <c r="B611" s="34"/>
      <c r="C611" s="34"/>
      <c r="D611" s="34"/>
      <c r="E611" s="35"/>
      <c r="F611" s="34"/>
      <c r="G611" s="36" t="str">
        <f t="shared" si="9"/>
        <v/>
      </c>
    </row>
    <row r="612" spans="1:7" x14ac:dyDescent="0.25">
      <c r="A612" s="33"/>
      <c r="B612" s="34"/>
      <c r="C612" s="34"/>
      <c r="D612" s="34"/>
      <c r="E612" s="35"/>
      <c r="F612" s="34"/>
      <c r="G612" s="36" t="str">
        <f t="shared" si="9"/>
        <v/>
      </c>
    </row>
    <row r="613" spans="1:7" x14ac:dyDescent="0.25">
      <c r="A613" s="33"/>
      <c r="B613" s="34"/>
      <c r="C613" s="34"/>
      <c r="D613" s="34"/>
      <c r="E613" s="35"/>
      <c r="F613" s="34"/>
      <c r="G613" s="36" t="str">
        <f t="shared" si="9"/>
        <v/>
      </c>
    </row>
    <row r="614" spans="1:7" x14ac:dyDescent="0.25">
      <c r="A614" s="33"/>
      <c r="B614" s="34"/>
      <c r="C614" s="34"/>
      <c r="D614" s="34"/>
      <c r="E614" s="35"/>
      <c r="F614" s="34"/>
      <c r="G614" s="36" t="str">
        <f t="shared" si="9"/>
        <v/>
      </c>
    </row>
    <row r="615" spans="1:7" x14ac:dyDescent="0.25">
      <c r="A615" s="33"/>
      <c r="B615" s="34"/>
      <c r="C615" s="34"/>
      <c r="D615" s="34"/>
      <c r="E615" s="35"/>
      <c r="F615" s="34"/>
      <c r="G615" s="36" t="str">
        <f t="shared" si="9"/>
        <v/>
      </c>
    </row>
    <row r="616" spans="1:7" x14ac:dyDescent="0.25">
      <c r="A616" s="33"/>
      <c r="B616" s="34"/>
      <c r="C616" s="34"/>
      <c r="D616" s="34"/>
      <c r="E616" s="35"/>
      <c r="F616" s="34"/>
      <c r="G616" s="36" t="str">
        <f t="shared" si="9"/>
        <v/>
      </c>
    </row>
    <row r="617" spans="1:7" x14ac:dyDescent="0.25">
      <c r="A617" s="33"/>
      <c r="B617" s="34"/>
      <c r="C617" s="34"/>
      <c r="D617" s="34"/>
      <c r="E617" s="35"/>
      <c r="F617" s="34"/>
      <c r="G617" s="36" t="str">
        <f t="shared" si="9"/>
        <v/>
      </c>
    </row>
    <row r="618" spans="1:7" x14ac:dyDescent="0.25">
      <c r="A618" s="33"/>
      <c r="B618" s="34"/>
      <c r="C618" s="34"/>
      <c r="D618" s="34"/>
      <c r="E618" s="35"/>
      <c r="F618" s="34"/>
      <c r="G618" s="36" t="str">
        <f t="shared" si="9"/>
        <v/>
      </c>
    </row>
    <row r="619" spans="1:7" x14ac:dyDescent="0.25">
      <c r="A619" s="33"/>
      <c r="B619" s="34"/>
      <c r="C619" s="34"/>
      <c r="D619" s="34"/>
      <c r="E619" s="35"/>
      <c r="F619" s="34"/>
      <c r="G619" s="36" t="str">
        <f t="shared" si="9"/>
        <v/>
      </c>
    </row>
    <row r="620" spans="1:7" x14ac:dyDescent="0.25">
      <c r="A620" s="33"/>
      <c r="B620" s="34"/>
      <c r="C620" s="34"/>
      <c r="D620" s="34"/>
      <c r="E620" s="35"/>
      <c r="F620" s="34"/>
      <c r="G620" s="36" t="str">
        <f t="shared" si="9"/>
        <v/>
      </c>
    </row>
    <row r="621" spans="1:7" x14ac:dyDescent="0.25">
      <c r="A621" s="33"/>
      <c r="B621" s="34"/>
      <c r="C621" s="34"/>
      <c r="D621" s="34"/>
      <c r="E621" s="35"/>
      <c r="F621" s="34"/>
      <c r="G621" s="36" t="str">
        <f t="shared" si="9"/>
        <v/>
      </c>
    </row>
    <row r="622" spans="1:7" x14ac:dyDescent="0.25">
      <c r="A622" s="33"/>
      <c r="B622" s="34"/>
      <c r="C622" s="34"/>
      <c r="D622" s="34"/>
      <c r="E622" s="35"/>
      <c r="F622" s="34"/>
      <c r="G622" s="36" t="str">
        <f t="shared" si="9"/>
        <v/>
      </c>
    </row>
    <row r="623" spans="1:7" x14ac:dyDescent="0.25">
      <c r="A623" s="33"/>
      <c r="B623" s="34"/>
      <c r="C623" s="34"/>
      <c r="D623" s="34"/>
      <c r="E623" s="35"/>
      <c r="F623" s="34"/>
      <c r="G623" s="36" t="str">
        <f t="shared" si="9"/>
        <v/>
      </c>
    </row>
    <row r="624" spans="1:7" x14ac:dyDescent="0.25">
      <c r="A624" s="33"/>
      <c r="B624" s="34"/>
      <c r="C624" s="34"/>
      <c r="D624" s="34"/>
      <c r="E624" s="35"/>
      <c r="F624" s="34"/>
      <c r="G624" s="36" t="str">
        <f t="shared" si="9"/>
        <v/>
      </c>
    </row>
    <row r="625" spans="1:7" x14ac:dyDescent="0.25">
      <c r="A625" s="33"/>
      <c r="B625" s="34"/>
      <c r="C625" s="34"/>
      <c r="D625" s="34"/>
      <c r="E625" s="35"/>
      <c r="F625" s="34"/>
      <c r="G625" s="36" t="str">
        <f t="shared" si="9"/>
        <v/>
      </c>
    </row>
    <row r="626" spans="1:7" x14ac:dyDescent="0.25">
      <c r="A626" s="33"/>
      <c r="B626" s="34"/>
      <c r="C626" s="34"/>
      <c r="D626" s="34"/>
      <c r="E626" s="35"/>
      <c r="F626" s="34"/>
      <c r="G626" s="36" t="str">
        <f t="shared" si="9"/>
        <v/>
      </c>
    </row>
    <row r="627" spans="1:7" x14ac:dyDescent="0.25">
      <c r="A627" s="33"/>
      <c r="B627" s="34"/>
      <c r="C627" s="34"/>
      <c r="D627" s="34"/>
      <c r="E627" s="35"/>
      <c r="F627" s="34"/>
      <c r="G627" s="36" t="str">
        <f t="shared" si="9"/>
        <v/>
      </c>
    </row>
    <row r="628" spans="1:7" x14ac:dyDescent="0.25">
      <c r="A628" s="33"/>
      <c r="B628" s="34"/>
      <c r="C628" s="34"/>
      <c r="D628" s="34"/>
      <c r="E628" s="35"/>
      <c r="F628" s="34"/>
      <c r="G628" s="36" t="str">
        <f t="shared" si="9"/>
        <v/>
      </c>
    </row>
    <row r="629" spans="1:7" x14ac:dyDescent="0.25">
      <c r="A629" s="33"/>
      <c r="B629" s="34"/>
      <c r="C629" s="34"/>
      <c r="D629" s="34"/>
      <c r="E629" s="35"/>
      <c r="F629" s="34"/>
      <c r="G629" s="36" t="str">
        <f t="shared" si="9"/>
        <v/>
      </c>
    </row>
    <row r="630" spans="1:7" x14ac:dyDescent="0.25">
      <c r="A630" s="33"/>
      <c r="B630" s="34"/>
      <c r="C630" s="34"/>
      <c r="D630" s="34"/>
      <c r="E630" s="35"/>
      <c r="F630" s="34"/>
      <c r="G630" s="36" t="str">
        <f t="shared" si="9"/>
        <v/>
      </c>
    </row>
    <row r="631" spans="1:7" x14ac:dyDescent="0.25">
      <c r="A631" s="33"/>
      <c r="B631" s="34"/>
      <c r="C631" s="34"/>
      <c r="D631" s="34"/>
      <c r="E631" s="35"/>
      <c r="F631" s="34"/>
      <c r="G631" s="36" t="str">
        <f t="shared" si="9"/>
        <v/>
      </c>
    </row>
    <row r="632" spans="1:7" x14ac:dyDescent="0.25">
      <c r="A632" s="33"/>
      <c r="B632" s="34"/>
      <c r="C632" s="34"/>
      <c r="D632" s="34"/>
      <c r="E632" s="35"/>
      <c r="F632" s="34"/>
      <c r="G632" s="36" t="str">
        <f t="shared" si="9"/>
        <v/>
      </c>
    </row>
    <row r="633" spans="1:7" x14ac:dyDescent="0.25">
      <c r="A633" s="33"/>
      <c r="B633" s="34"/>
      <c r="C633" s="34"/>
      <c r="D633" s="34"/>
      <c r="E633" s="35"/>
      <c r="F633" s="34"/>
      <c r="G633" s="36" t="str">
        <f t="shared" si="9"/>
        <v/>
      </c>
    </row>
    <row r="634" spans="1:7" x14ac:dyDescent="0.25">
      <c r="A634" s="33"/>
      <c r="B634" s="34"/>
      <c r="C634" s="34"/>
      <c r="D634" s="34"/>
      <c r="E634" s="35"/>
      <c r="F634" s="34"/>
      <c r="G634" s="36" t="str">
        <f t="shared" si="9"/>
        <v/>
      </c>
    </row>
    <row r="635" spans="1:7" x14ac:dyDescent="0.25">
      <c r="A635" s="33"/>
      <c r="B635" s="34"/>
      <c r="C635" s="34"/>
      <c r="D635" s="34"/>
      <c r="E635" s="35"/>
      <c r="F635" s="34"/>
      <c r="G635" s="36" t="str">
        <f t="shared" si="9"/>
        <v/>
      </c>
    </row>
    <row r="636" spans="1:7" x14ac:dyDescent="0.25">
      <c r="A636" s="33"/>
      <c r="B636" s="34"/>
      <c r="C636" s="34"/>
      <c r="D636" s="34"/>
      <c r="E636" s="35"/>
      <c r="F636" s="34"/>
      <c r="G636" s="36" t="str">
        <f t="shared" si="9"/>
        <v/>
      </c>
    </row>
    <row r="637" spans="1:7" x14ac:dyDescent="0.25">
      <c r="A637" s="33"/>
      <c r="B637" s="34"/>
      <c r="C637" s="34"/>
      <c r="D637" s="34"/>
      <c r="E637" s="35"/>
      <c r="F637" s="34"/>
      <c r="G637" s="36" t="str">
        <f t="shared" si="9"/>
        <v/>
      </c>
    </row>
    <row r="638" spans="1:7" x14ac:dyDescent="0.25">
      <c r="A638" s="33"/>
      <c r="B638" s="34"/>
      <c r="C638" s="34"/>
      <c r="D638" s="34"/>
      <c r="E638" s="35"/>
      <c r="F638" s="34"/>
      <c r="G638" s="36" t="str">
        <f t="shared" si="9"/>
        <v/>
      </c>
    </row>
    <row r="639" spans="1:7" x14ac:dyDescent="0.25">
      <c r="A639" s="33"/>
      <c r="B639" s="34"/>
      <c r="C639" s="34"/>
      <c r="D639" s="34"/>
      <c r="E639" s="35"/>
      <c r="F639" s="34"/>
      <c r="G639" s="36" t="str">
        <f t="shared" si="9"/>
        <v/>
      </c>
    </row>
    <row r="640" spans="1:7" x14ac:dyDescent="0.25">
      <c r="A640" s="33"/>
      <c r="B640" s="34"/>
      <c r="C640" s="34"/>
      <c r="D640" s="34"/>
      <c r="E640" s="35"/>
      <c r="F640" s="34"/>
      <c r="G640" s="36" t="str">
        <f t="shared" si="9"/>
        <v/>
      </c>
    </row>
    <row r="641" spans="1:7" x14ac:dyDescent="0.25">
      <c r="A641" s="33"/>
      <c r="B641" s="34"/>
      <c r="C641" s="34"/>
      <c r="D641" s="34"/>
      <c r="E641" s="35"/>
      <c r="F641" s="34"/>
      <c r="G641" s="36" t="str">
        <f t="shared" si="9"/>
        <v/>
      </c>
    </row>
    <row r="642" spans="1:7" x14ac:dyDescent="0.25">
      <c r="A642" s="33"/>
      <c r="B642" s="34"/>
      <c r="C642" s="34"/>
      <c r="D642" s="34"/>
      <c r="E642" s="35"/>
      <c r="F642" s="34"/>
      <c r="G642" s="36" t="str">
        <f t="shared" si="9"/>
        <v/>
      </c>
    </row>
    <row r="643" spans="1:7" x14ac:dyDescent="0.25">
      <c r="A643" s="33"/>
      <c r="B643" s="34"/>
      <c r="C643" s="34"/>
      <c r="D643" s="34"/>
      <c r="E643" s="35"/>
      <c r="F643" s="34"/>
      <c r="G643" s="36" t="str">
        <f t="shared" si="9"/>
        <v/>
      </c>
    </row>
    <row r="644" spans="1:7" x14ac:dyDescent="0.25">
      <c r="A644" s="33"/>
      <c r="B644" s="34"/>
      <c r="C644" s="34"/>
      <c r="D644" s="34"/>
      <c r="E644" s="35"/>
      <c r="F644" s="34"/>
      <c r="G644" s="36" t="str">
        <f t="shared" si="9"/>
        <v/>
      </c>
    </row>
    <row r="645" spans="1:7" x14ac:dyDescent="0.25">
      <c r="A645" s="33"/>
      <c r="B645" s="34"/>
      <c r="C645" s="34"/>
      <c r="D645" s="34"/>
      <c r="E645" s="35"/>
      <c r="F645" s="34"/>
      <c r="G645" s="36" t="str">
        <f t="shared" si="9"/>
        <v/>
      </c>
    </row>
    <row r="646" spans="1:7" x14ac:dyDescent="0.25">
      <c r="A646" s="33"/>
      <c r="B646" s="34"/>
      <c r="C646" s="34"/>
      <c r="D646" s="34"/>
      <c r="E646" s="35"/>
      <c r="F646" s="34"/>
      <c r="G646" s="36" t="str">
        <f t="shared" ref="G646:G709" si="10">IF(A646="","",DATE(YEAR(A646),MONTH(A646),1))</f>
        <v/>
      </c>
    </row>
    <row r="647" spans="1:7" x14ac:dyDescent="0.25">
      <c r="A647" s="33"/>
      <c r="B647" s="34"/>
      <c r="C647" s="34"/>
      <c r="D647" s="34"/>
      <c r="E647" s="35"/>
      <c r="F647" s="34"/>
      <c r="G647" s="36" t="str">
        <f t="shared" si="10"/>
        <v/>
      </c>
    </row>
    <row r="648" spans="1:7" x14ac:dyDescent="0.25">
      <c r="A648" s="33"/>
      <c r="B648" s="34"/>
      <c r="C648" s="34"/>
      <c r="D648" s="34"/>
      <c r="E648" s="35"/>
      <c r="F648" s="34"/>
      <c r="G648" s="36" t="str">
        <f t="shared" si="10"/>
        <v/>
      </c>
    </row>
    <row r="649" spans="1:7" x14ac:dyDescent="0.25">
      <c r="A649" s="33"/>
      <c r="B649" s="34"/>
      <c r="C649" s="34"/>
      <c r="D649" s="34"/>
      <c r="E649" s="35"/>
      <c r="F649" s="34"/>
      <c r="G649" s="36" t="str">
        <f t="shared" si="10"/>
        <v/>
      </c>
    </row>
    <row r="650" spans="1:7" x14ac:dyDescent="0.25">
      <c r="A650" s="33"/>
      <c r="B650" s="34"/>
      <c r="C650" s="34"/>
      <c r="D650" s="34"/>
      <c r="E650" s="35"/>
      <c r="F650" s="34"/>
      <c r="G650" s="36" t="str">
        <f t="shared" si="10"/>
        <v/>
      </c>
    </row>
    <row r="651" spans="1:7" x14ac:dyDescent="0.25">
      <c r="A651" s="33"/>
      <c r="B651" s="34"/>
      <c r="C651" s="34"/>
      <c r="D651" s="34"/>
      <c r="E651" s="35"/>
      <c r="F651" s="34"/>
      <c r="G651" s="36" t="str">
        <f t="shared" si="10"/>
        <v/>
      </c>
    </row>
    <row r="652" spans="1:7" x14ac:dyDescent="0.25">
      <c r="A652" s="33"/>
      <c r="B652" s="34"/>
      <c r="C652" s="34"/>
      <c r="D652" s="34"/>
      <c r="E652" s="35"/>
      <c r="F652" s="34"/>
      <c r="G652" s="36" t="str">
        <f t="shared" si="10"/>
        <v/>
      </c>
    </row>
    <row r="653" spans="1:7" x14ac:dyDescent="0.25">
      <c r="A653" s="33"/>
      <c r="B653" s="34"/>
      <c r="C653" s="34"/>
      <c r="D653" s="34"/>
      <c r="E653" s="35"/>
      <c r="F653" s="34"/>
      <c r="G653" s="36" t="str">
        <f t="shared" si="10"/>
        <v/>
      </c>
    </row>
    <row r="654" spans="1:7" x14ac:dyDescent="0.25">
      <c r="A654" s="33"/>
      <c r="B654" s="34"/>
      <c r="C654" s="34"/>
      <c r="D654" s="34"/>
      <c r="E654" s="35"/>
      <c r="F654" s="34"/>
      <c r="G654" s="36" t="str">
        <f t="shared" si="10"/>
        <v/>
      </c>
    </row>
    <row r="655" spans="1:7" x14ac:dyDescent="0.25">
      <c r="A655" s="33"/>
      <c r="B655" s="34"/>
      <c r="C655" s="34"/>
      <c r="D655" s="34"/>
      <c r="E655" s="35"/>
      <c r="F655" s="34"/>
      <c r="G655" s="36" t="str">
        <f t="shared" si="10"/>
        <v/>
      </c>
    </row>
    <row r="656" spans="1:7" x14ac:dyDescent="0.25">
      <c r="A656" s="33"/>
      <c r="B656" s="34"/>
      <c r="C656" s="34"/>
      <c r="D656" s="34"/>
      <c r="E656" s="35"/>
      <c r="F656" s="34"/>
      <c r="G656" s="36" t="str">
        <f t="shared" si="10"/>
        <v/>
      </c>
    </row>
    <row r="657" spans="1:7" x14ac:dyDescent="0.25">
      <c r="A657" s="33"/>
      <c r="B657" s="34"/>
      <c r="C657" s="34"/>
      <c r="D657" s="34"/>
      <c r="E657" s="35"/>
      <c r="F657" s="34"/>
      <c r="G657" s="36" t="str">
        <f t="shared" si="10"/>
        <v/>
      </c>
    </row>
    <row r="658" spans="1:7" x14ac:dyDescent="0.25">
      <c r="A658" s="33"/>
      <c r="B658" s="34"/>
      <c r="C658" s="34"/>
      <c r="D658" s="34"/>
      <c r="E658" s="35"/>
      <c r="F658" s="34"/>
      <c r="G658" s="36" t="str">
        <f t="shared" si="10"/>
        <v/>
      </c>
    </row>
    <row r="659" spans="1:7" x14ac:dyDescent="0.25">
      <c r="A659" s="33"/>
      <c r="B659" s="34"/>
      <c r="C659" s="34"/>
      <c r="D659" s="34"/>
      <c r="E659" s="35"/>
      <c r="F659" s="34"/>
      <c r="G659" s="36" t="str">
        <f t="shared" si="10"/>
        <v/>
      </c>
    </row>
    <row r="660" spans="1:7" x14ac:dyDescent="0.25">
      <c r="A660" s="33"/>
      <c r="B660" s="34"/>
      <c r="C660" s="34"/>
      <c r="D660" s="34"/>
      <c r="E660" s="35"/>
      <c r="F660" s="34"/>
      <c r="G660" s="36" t="str">
        <f t="shared" si="10"/>
        <v/>
      </c>
    </row>
    <row r="661" spans="1:7" x14ac:dyDescent="0.25">
      <c r="A661" s="33"/>
      <c r="B661" s="34"/>
      <c r="C661" s="34"/>
      <c r="D661" s="34"/>
      <c r="E661" s="35"/>
      <c r="F661" s="34"/>
      <c r="G661" s="36" t="str">
        <f t="shared" si="10"/>
        <v/>
      </c>
    </row>
    <row r="662" spans="1:7" x14ac:dyDescent="0.25">
      <c r="A662" s="33"/>
      <c r="B662" s="34"/>
      <c r="C662" s="34"/>
      <c r="D662" s="34"/>
      <c r="E662" s="35"/>
      <c r="F662" s="34"/>
      <c r="G662" s="36" t="str">
        <f t="shared" si="10"/>
        <v/>
      </c>
    </row>
    <row r="663" spans="1:7" x14ac:dyDescent="0.25">
      <c r="A663" s="33"/>
      <c r="B663" s="34"/>
      <c r="C663" s="34"/>
      <c r="D663" s="34"/>
      <c r="E663" s="35"/>
      <c r="F663" s="34"/>
      <c r="G663" s="36" t="str">
        <f t="shared" si="10"/>
        <v/>
      </c>
    </row>
    <row r="664" spans="1:7" x14ac:dyDescent="0.25">
      <c r="A664" s="33"/>
      <c r="B664" s="34"/>
      <c r="C664" s="34"/>
      <c r="D664" s="34"/>
      <c r="E664" s="35"/>
      <c r="F664" s="34"/>
      <c r="G664" s="36" t="str">
        <f t="shared" si="10"/>
        <v/>
      </c>
    </row>
    <row r="665" spans="1:7" x14ac:dyDescent="0.25">
      <c r="A665" s="33"/>
      <c r="B665" s="34"/>
      <c r="C665" s="34"/>
      <c r="D665" s="34"/>
      <c r="E665" s="35"/>
      <c r="F665" s="34"/>
      <c r="G665" s="36" t="str">
        <f t="shared" si="10"/>
        <v/>
      </c>
    </row>
    <row r="666" spans="1:7" x14ac:dyDescent="0.25">
      <c r="A666" s="33"/>
      <c r="B666" s="34"/>
      <c r="C666" s="34"/>
      <c r="D666" s="34"/>
      <c r="E666" s="35"/>
      <c r="F666" s="34"/>
      <c r="G666" s="36" t="str">
        <f t="shared" si="10"/>
        <v/>
      </c>
    </row>
    <row r="667" spans="1:7" x14ac:dyDescent="0.25">
      <c r="A667" s="33"/>
      <c r="B667" s="34"/>
      <c r="C667" s="34"/>
      <c r="D667" s="34"/>
      <c r="E667" s="35"/>
      <c r="F667" s="34"/>
      <c r="G667" s="36" t="str">
        <f t="shared" si="10"/>
        <v/>
      </c>
    </row>
    <row r="668" spans="1:7" x14ac:dyDescent="0.25">
      <c r="A668" s="33"/>
      <c r="B668" s="34"/>
      <c r="C668" s="34"/>
      <c r="D668" s="34"/>
      <c r="E668" s="35"/>
      <c r="F668" s="34"/>
      <c r="G668" s="36" t="str">
        <f t="shared" si="10"/>
        <v/>
      </c>
    </row>
    <row r="669" spans="1:7" x14ac:dyDescent="0.25">
      <c r="A669" s="33"/>
      <c r="B669" s="34"/>
      <c r="C669" s="34"/>
      <c r="D669" s="34"/>
      <c r="E669" s="35"/>
      <c r="F669" s="34"/>
      <c r="G669" s="36" t="str">
        <f t="shared" si="10"/>
        <v/>
      </c>
    </row>
    <row r="670" spans="1:7" x14ac:dyDescent="0.25">
      <c r="A670" s="33"/>
      <c r="B670" s="34"/>
      <c r="C670" s="34"/>
      <c r="D670" s="34"/>
      <c r="E670" s="35"/>
      <c r="F670" s="34"/>
      <c r="G670" s="36" t="str">
        <f t="shared" si="10"/>
        <v/>
      </c>
    </row>
    <row r="671" spans="1:7" x14ac:dyDescent="0.25">
      <c r="A671" s="33"/>
      <c r="B671" s="34"/>
      <c r="C671" s="34"/>
      <c r="D671" s="34"/>
      <c r="E671" s="35"/>
      <c r="F671" s="34"/>
      <c r="G671" s="36" t="str">
        <f t="shared" si="10"/>
        <v/>
      </c>
    </row>
    <row r="672" spans="1:7" x14ac:dyDescent="0.25">
      <c r="A672" s="33"/>
      <c r="B672" s="34"/>
      <c r="C672" s="34"/>
      <c r="D672" s="34"/>
      <c r="E672" s="35"/>
      <c r="F672" s="34"/>
      <c r="G672" s="36" t="str">
        <f t="shared" si="10"/>
        <v/>
      </c>
    </row>
    <row r="673" spans="1:7" x14ac:dyDescent="0.25">
      <c r="A673" s="33"/>
      <c r="B673" s="34"/>
      <c r="C673" s="34"/>
      <c r="D673" s="34"/>
      <c r="E673" s="35"/>
      <c r="F673" s="34"/>
      <c r="G673" s="36" t="str">
        <f t="shared" si="10"/>
        <v/>
      </c>
    </row>
    <row r="674" spans="1:7" x14ac:dyDescent="0.25">
      <c r="A674" s="33"/>
      <c r="B674" s="34"/>
      <c r="C674" s="34"/>
      <c r="D674" s="34"/>
      <c r="E674" s="35"/>
      <c r="F674" s="34"/>
      <c r="G674" s="36" t="str">
        <f t="shared" si="10"/>
        <v/>
      </c>
    </row>
    <row r="675" spans="1:7" x14ac:dyDescent="0.25">
      <c r="A675" s="33"/>
      <c r="B675" s="34"/>
      <c r="C675" s="34"/>
      <c r="D675" s="34"/>
      <c r="E675" s="35"/>
      <c r="F675" s="34"/>
      <c r="G675" s="36" t="str">
        <f t="shared" si="10"/>
        <v/>
      </c>
    </row>
    <row r="676" spans="1:7" x14ac:dyDescent="0.25">
      <c r="A676" s="33"/>
      <c r="B676" s="34"/>
      <c r="C676" s="34"/>
      <c r="D676" s="34"/>
      <c r="E676" s="35"/>
      <c r="F676" s="34"/>
      <c r="G676" s="36" t="str">
        <f t="shared" si="10"/>
        <v/>
      </c>
    </row>
    <row r="677" spans="1:7" x14ac:dyDescent="0.25">
      <c r="A677" s="33"/>
      <c r="B677" s="34"/>
      <c r="C677" s="34"/>
      <c r="D677" s="34"/>
      <c r="E677" s="35"/>
      <c r="F677" s="34"/>
      <c r="G677" s="36" t="str">
        <f t="shared" si="10"/>
        <v/>
      </c>
    </row>
    <row r="678" spans="1:7" x14ac:dyDescent="0.25">
      <c r="A678" s="33"/>
      <c r="B678" s="34"/>
      <c r="C678" s="34"/>
      <c r="D678" s="34"/>
      <c r="E678" s="35"/>
      <c r="F678" s="34"/>
      <c r="G678" s="36" t="str">
        <f t="shared" si="10"/>
        <v/>
      </c>
    </row>
    <row r="679" spans="1:7" x14ac:dyDescent="0.25">
      <c r="A679" s="33"/>
      <c r="B679" s="34"/>
      <c r="C679" s="34"/>
      <c r="D679" s="34"/>
      <c r="E679" s="35"/>
      <c r="F679" s="34"/>
      <c r="G679" s="36" t="str">
        <f t="shared" si="10"/>
        <v/>
      </c>
    </row>
    <row r="680" spans="1:7" x14ac:dyDescent="0.25">
      <c r="A680" s="33"/>
      <c r="B680" s="34"/>
      <c r="C680" s="34"/>
      <c r="D680" s="34"/>
      <c r="E680" s="35"/>
      <c r="F680" s="34"/>
      <c r="G680" s="36" t="str">
        <f t="shared" si="10"/>
        <v/>
      </c>
    </row>
    <row r="681" spans="1:7" x14ac:dyDescent="0.25">
      <c r="A681" s="33"/>
      <c r="B681" s="34"/>
      <c r="C681" s="34"/>
      <c r="D681" s="34"/>
      <c r="E681" s="35"/>
      <c r="F681" s="34"/>
      <c r="G681" s="36" t="str">
        <f t="shared" si="10"/>
        <v/>
      </c>
    </row>
    <row r="682" spans="1:7" x14ac:dyDescent="0.25">
      <c r="A682" s="33"/>
      <c r="B682" s="34"/>
      <c r="C682" s="34"/>
      <c r="D682" s="34"/>
      <c r="E682" s="35"/>
      <c r="F682" s="34"/>
      <c r="G682" s="36" t="str">
        <f t="shared" si="10"/>
        <v/>
      </c>
    </row>
    <row r="683" spans="1:7" x14ac:dyDescent="0.25">
      <c r="A683" s="33"/>
      <c r="B683" s="34"/>
      <c r="C683" s="34"/>
      <c r="D683" s="34"/>
      <c r="E683" s="35"/>
      <c r="F683" s="34"/>
      <c r="G683" s="36" t="str">
        <f t="shared" si="10"/>
        <v/>
      </c>
    </row>
    <row r="684" spans="1:7" x14ac:dyDescent="0.25">
      <c r="A684" s="33"/>
      <c r="B684" s="34"/>
      <c r="C684" s="34"/>
      <c r="D684" s="34"/>
      <c r="E684" s="35"/>
      <c r="F684" s="34"/>
      <c r="G684" s="36" t="str">
        <f t="shared" si="10"/>
        <v/>
      </c>
    </row>
    <row r="685" spans="1:7" x14ac:dyDescent="0.25">
      <c r="A685" s="33"/>
      <c r="B685" s="34"/>
      <c r="C685" s="34"/>
      <c r="D685" s="34"/>
      <c r="E685" s="35"/>
      <c r="F685" s="34"/>
      <c r="G685" s="36" t="str">
        <f t="shared" si="10"/>
        <v/>
      </c>
    </row>
    <row r="686" spans="1:7" x14ac:dyDescent="0.25">
      <c r="A686" s="33"/>
      <c r="B686" s="34"/>
      <c r="C686" s="34"/>
      <c r="D686" s="34"/>
      <c r="E686" s="35"/>
      <c r="F686" s="34"/>
      <c r="G686" s="36" t="str">
        <f t="shared" si="10"/>
        <v/>
      </c>
    </row>
    <row r="687" spans="1:7" x14ac:dyDescent="0.25">
      <c r="A687" s="33"/>
      <c r="B687" s="34"/>
      <c r="C687" s="34"/>
      <c r="D687" s="34"/>
      <c r="E687" s="35"/>
      <c r="F687" s="34"/>
      <c r="G687" s="36" t="str">
        <f t="shared" si="10"/>
        <v/>
      </c>
    </row>
    <row r="688" spans="1:7" x14ac:dyDescent="0.25">
      <c r="A688" s="33"/>
      <c r="B688" s="34"/>
      <c r="C688" s="34"/>
      <c r="D688" s="34"/>
      <c r="E688" s="35"/>
      <c r="F688" s="34"/>
      <c r="G688" s="36" t="str">
        <f t="shared" si="10"/>
        <v/>
      </c>
    </row>
    <row r="689" spans="1:7" x14ac:dyDescent="0.25">
      <c r="A689" s="33"/>
      <c r="B689" s="34"/>
      <c r="C689" s="34"/>
      <c r="D689" s="34"/>
      <c r="E689" s="35"/>
      <c r="F689" s="34"/>
      <c r="G689" s="36" t="str">
        <f t="shared" si="10"/>
        <v/>
      </c>
    </row>
    <row r="690" spans="1:7" x14ac:dyDescent="0.25">
      <c r="A690" s="33"/>
      <c r="B690" s="34"/>
      <c r="C690" s="34"/>
      <c r="D690" s="34"/>
      <c r="E690" s="35"/>
      <c r="F690" s="34"/>
      <c r="G690" s="36" t="str">
        <f t="shared" si="10"/>
        <v/>
      </c>
    </row>
    <row r="691" spans="1:7" x14ac:dyDescent="0.25">
      <c r="A691" s="33"/>
      <c r="B691" s="34"/>
      <c r="C691" s="34"/>
      <c r="D691" s="34"/>
      <c r="E691" s="35"/>
      <c r="F691" s="34"/>
      <c r="G691" s="36" t="str">
        <f t="shared" si="10"/>
        <v/>
      </c>
    </row>
    <row r="692" spans="1:7" x14ac:dyDescent="0.25">
      <c r="A692" s="33"/>
      <c r="B692" s="34"/>
      <c r="C692" s="34"/>
      <c r="D692" s="34"/>
      <c r="E692" s="35"/>
      <c r="F692" s="34"/>
      <c r="G692" s="36" t="str">
        <f t="shared" si="10"/>
        <v/>
      </c>
    </row>
    <row r="693" spans="1:7" x14ac:dyDescent="0.25">
      <c r="A693" s="33"/>
      <c r="B693" s="34"/>
      <c r="C693" s="34"/>
      <c r="D693" s="34"/>
      <c r="E693" s="35"/>
      <c r="F693" s="34"/>
      <c r="G693" s="36" t="str">
        <f t="shared" si="10"/>
        <v/>
      </c>
    </row>
    <row r="694" spans="1:7" x14ac:dyDescent="0.25">
      <c r="A694" s="33"/>
      <c r="B694" s="34"/>
      <c r="C694" s="34"/>
      <c r="D694" s="34"/>
      <c r="E694" s="35"/>
      <c r="F694" s="34"/>
      <c r="G694" s="36" t="str">
        <f t="shared" si="10"/>
        <v/>
      </c>
    </row>
    <row r="695" spans="1:7" x14ac:dyDescent="0.25">
      <c r="A695" s="33"/>
      <c r="B695" s="34"/>
      <c r="C695" s="34"/>
      <c r="D695" s="34"/>
      <c r="E695" s="35"/>
      <c r="F695" s="34"/>
      <c r="G695" s="36" t="str">
        <f t="shared" si="10"/>
        <v/>
      </c>
    </row>
    <row r="696" spans="1:7" x14ac:dyDescent="0.25">
      <c r="A696" s="33"/>
      <c r="B696" s="34"/>
      <c r="C696" s="34"/>
      <c r="D696" s="34"/>
      <c r="E696" s="35"/>
      <c r="F696" s="34"/>
      <c r="G696" s="36" t="str">
        <f t="shared" si="10"/>
        <v/>
      </c>
    </row>
    <row r="697" spans="1:7" x14ac:dyDescent="0.25">
      <c r="A697" s="33"/>
      <c r="B697" s="34"/>
      <c r="C697" s="34"/>
      <c r="D697" s="34"/>
      <c r="E697" s="35"/>
      <c r="F697" s="34"/>
      <c r="G697" s="36" t="str">
        <f t="shared" si="10"/>
        <v/>
      </c>
    </row>
    <row r="698" spans="1:7" x14ac:dyDescent="0.25">
      <c r="A698" s="33"/>
      <c r="B698" s="34"/>
      <c r="C698" s="34"/>
      <c r="D698" s="34"/>
      <c r="E698" s="35"/>
      <c r="F698" s="34"/>
      <c r="G698" s="36" t="str">
        <f t="shared" si="10"/>
        <v/>
      </c>
    </row>
    <row r="699" spans="1:7" x14ac:dyDescent="0.25">
      <c r="A699" s="33"/>
      <c r="B699" s="34"/>
      <c r="C699" s="34"/>
      <c r="D699" s="34"/>
      <c r="E699" s="35"/>
      <c r="F699" s="34"/>
      <c r="G699" s="36" t="str">
        <f t="shared" si="10"/>
        <v/>
      </c>
    </row>
    <row r="700" spans="1:7" x14ac:dyDescent="0.25">
      <c r="A700" s="33"/>
      <c r="B700" s="34"/>
      <c r="C700" s="34"/>
      <c r="D700" s="34"/>
      <c r="E700" s="35"/>
      <c r="F700" s="34"/>
      <c r="G700" s="36" t="str">
        <f t="shared" si="10"/>
        <v/>
      </c>
    </row>
    <row r="701" spans="1:7" x14ac:dyDescent="0.25">
      <c r="A701" s="33"/>
      <c r="B701" s="34"/>
      <c r="C701" s="34"/>
      <c r="D701" s="34"/>
      <c r="E701" s="35"/>
      <c r="F701" s="34"/>
      <c r="G701" s="36" t="str">
        <f t="shared" si="10"/>
        <v/>
      </c>
    </row>
    <row r="702" spans="1:7" x14ac:dyDescent="0.25">
      <c r="A702" s="33"/>
      <c r="B702" s="34"/>
      <c r="C702" s="34"/>
      <c r="D702" s="34"/>
      <c r="E702" s="35"/>
      <c r="F702" s="34"/>
      <c r="G702" s="36" t="str">
        <f t="shared" si="10"/>
        <v/>
      </c>
    </row>
    <row r="703" spans="1:7" x14ac:dyDescent="0.25">
      <c r="A703" s="33"/>
      <c r="B703" s="34"/>
      <c r="C703" s="34"/>
      <c r="D703" s="34"/>
      <c r="E703" s="35"/>
      <c r="F703" s="34"/>
      <c r="G703" s="36" t="str">
        <f t="shared" si="10"/>
        <v/>
      </c>
    </row>
    <row r="704" spans="1:7" x14ac:dyDescent="0.25">
      <c r="A704" s="33"/>
      <c r="B704" s="34"/>
      <c r="C704" s="34"/>
      <c r="D704" s="34"/>
      <c r="E704" s="35"/>
      <c r="F704" s="34"/>
      <c r="G704" s="36" t="str">
        <f t="shared" si="10"/>
        <v/>
      </c>
    </row>
    <row r="705" spans="1:7" x14ac:dyDescent="0.25">
      <c r="A705" s="33"/>
      <c r="B705" s="34"/>
      <c r="C705" s="34"/>
      <c r="D705" s="34"/>
      <c r="E705" s="35"/>
      <c r="F705" s="34"/>
      <c r="G705" s="36" t="str">
        <f t="shared" si="10"/>
        <v/>
      </c>
    </row>
    <row r="706" spans="1:7" x14ac:dyDescent="0.25">
      <c r="A706" s="33"/>
      <c r="B706" s="34"/>
      <c r="C706" s="34"/>
      <c r="D706" s="34"/>
      <c r="E706" s="35"/>
      <c r="F706" s="34"/>
      <c r="G706" s="36" t="str">
        <f t="shared" si="10"/>
        <v/>
      </c>
    </row>
    <row r="707" spans="1:7" x14ac:dyDescent="0.25">
      <c r="A707" s="33"/>
      <c r="B707" s="34"/>
      <c r="C707" s="34"/>
      <c r="D707" s="34"/>
      <c r="E707" s="35"/>
      <c r="F707" s="34"/>
      <c r="G707" s="36" t="str">
        <f t="shared" si="10"/>
        <v/>
      </c>
    </row>
    <row r="708" spans="1:7" x14ac:dyDescent="0.25">
      <c r="A708" s="33"/>
      <c r="B708" s="34"/>
      <c r="C708" s="34"/>
      <c r="D708" s="34"/>
      <c r="E708" s="35"/>
      <c r="F708" s="34"/>
      <c r="G708" s="36" t="str">
        <f t="shared" si="10"/>
        <v/>
      </c>
    </row>
    <row r="709" spans="1:7" x14ac:dyDescent="0.25">
      <c r="A709" s="33"/>
      <c r="B709" s="34"/>
      <c r="C709" s="34"/>
      <c r="D709" s="34"/>
      <c r="E709" s="35"/>
      <c r="F709" s="34"/>
      <c r="G709" s="36" t="str">
        <f t="shared" si="10"/>
        <v/>
      </c>
    </row>
    <row r="710" spans="1:7" x14ac:dyDescent="0.25">
      <c r="A710" s="33"/>
      <c r="B710" s="34"/>
      <c r="C710" s="34"/>
      <c r="D710" s="34"/>
      <c r="E710" s="35"/>
      <c r="F710" s="34"/>
      <c r="G710" s="36" t="str">
        <f t="shared" ref="G710:G773" si="11">IF(A710="","",DATE(YEAR(A710),MONTH(A710),1))</f>
        <v/>
      </c>
    </row>
    <row r="711" spans="1:7" x14ac:dyDescent="0.25">
      <c r="A711" s="33"/>
      <c r="B711" s="34"/>
      <c r="C711" s="34"/>
      <c r="D711" s="34"/>
      <c r="E711" s="35"/>
      <c r="F711" s="34"/>
      <c r="G711" s="36" t="str">
        <f t="shared" si="11"/>
        <v/>
      </c>
    </row>
    <row r="712" spans="1:7" x14ac:dyDescent="0.25">
      <c r="A712" s="33"/>
      <c r="B712" s="34"/>
      <c r="C712" s="34"/>
      <c r="D712" s="34"/>
      <c r="E712" s="35"/>
      <c r="F712" s="34"/>
      <c r="G712" s="36" t="str">
        <f t="shared" si="11"/>
        <v/>
      </c>
    </row>
    <row r="713" spans="1:7" x14ac:dyDescent="0.25">
      <c r="A713" s="33"/>
      <c r="B713" s="34"/>
      <c r="C713" s="34"/>
      <c r="D713" s="34"/>
      <c r="E713" s="35"/>
      <c r="F713" s="34"/>
      <c r="G713" s="36" t="str">
        <f t="shared" si="11"/>
        <v/>
      </c>
    </row>
    <row r="714" spans="1:7" x14ac:dyDescent="0.25">
      <c r="A714" s="33"/>
      <c r="B714" s="34"/>
      <c r="C714" s="34"/>
      <c r="D714" s="34"/>
      <c r="E714" s="35"/>
      <c r="F714" s="34"/>
      <c r="G714" s="36" t="str">
        <f t="shared" si="11"/>
        <v/>
      </c>
    </row>
    <row r="715" spans="1:7" x14ac:dyDescent="0.25">
      <c r="A715" s="33"/>
      <c r="B715" s="34"/>
      <c r="C715" s="34"/>
      <c r="D715" s="34"/>
      <c r="E715" s="35"/>
      <c r="F715" s="34"/>
      <c r="G715" s="36" t="str">
        <f t="shared" si="11"/>
        <v/>
      </c>
    </row>
    <row r="716" spans="1:7" x14ac:dyDescent="0.25">
      <c r="A716" s="33"/>
      <c r="B716" s="34"/>
      <c r="C716" s="34"/>
      <c r="D716" s="34"/>
      <c r="E716" s="35"/>
      <c r="F716" s="34"/>
      <c r="G716" s="36" t="str">
        <f t="shared" si="11"/>
        <v/>
      </c>
    </row>
    <row r="717" spans="1:7" x14ac:dyDescent="0.25">
      <c r="A717" s="33"/>
      <c r="B717" s="34"/>
      <c r="C717" s="34"/>
      <c r="D717" s="34"/>
      <c r="E717" s="35"/>
      <c r="F717" s="34"/>
      <c r="G717" s="36" t="str">
        <f t="shared" si="11"/>
        <v/>
      </c>
    </row>
    <row r="718" spans="1:7" x14ac:dyDescent="0.25">
      <c r="A718" s="33"/>
      <c r="B718" s="34"/>
      <c r="C718" s="34"/>
      <c r="D718" s="34"/>
      <c r="E718" s="35"/>
      <c r="F718" s="34"/>
      <c r="G718" s="36" t="str">
        <f t="shared" si="11"/>
        <v/>
      </c>
    </row>
    <row r="719" spans="1:7" x14ac:dyDescent="0.25">
      <c r="A719" s="33"/>
      <c r="B719" s="34"/>
      <c r="C719" s="34"/>
      <c r="D719" s="34"/>
      <c r="E719" s="35"/>
      <c r="F719" s="34"/>
      <c r="G719" s="36" t="str">
        <f t="shared" si="11"/>
        <v/>
      </c>
    </row>
    <row r="720" spans="1:7" x14ac:dyDescent="0.25">
      <c r="A720" s="33"/>
      <c r="B720" s="34"/>
      <c r="C720" s="34"/>
      <c r="D720" s="34"/>
      <c r="E720" s="35"/>
      <c r="F720" s="34"/>
      <c r="G720" s="36" t="str">
        <f t="shared" si="11"/>
        <v/>
      </c>
    </row>
    <row r="721" spans="1:7" x14ac:dyDescent="0.25">
      <c r="A721" s="33"/>
      <c r="B721" s="34"/>
      <c r="C721" s="34"/>
      <c r="D721" s="34"/>
      <c r="E721" s="35"/>
      <c r="F721" s="34"/>
      <c r="G721" s="36" t="str">
        <f t="shared" si="11"/>
        <v/>
      </c>
    </row>
    <row r="722" spans="1:7" x14ac:dyDescent="0.25">
      <c r="A722" s="33"/>
      <c r="B722" s="34"/>
      <c r="C722" s="34"/>
      <c r="D722" s="34"/>
      <c r="E722" s="35"/>
      <c r="F722" s="34"/>
      <c r="G722" s="36" t="str">
        <f t="shared" si="11"/>
        <v/>
      </c>
    </row>
    <row r="723" spans="1:7" x14ac:dyDescent="0.25">
      <c r="A723" s="33"/>
      <c r="B723" s="34"/>
      <c r="C723" s="34"/>
      <c r="D723" s="34"/>
      <c r="E723" s="35"/>
      <c r="F723" s="34"/>
      <c r="G723" s="36" t="str">
        <f t="shared" si="11"/>
        <v/>
      </c>
    </row>
    <row r="724" spans="1:7" x14ac:dyDescent="0.25">
      <c r="A724" s="33"/>
      <c r="B724" s="34"/>
      <c r="C724" s="34"/>
      <c r="D724" s="34"/>
      <c r="E724" s="35"/>
      <c r="F724" s="34"/>
      <c r="G724" s="36" t="str">
        <f t="shared" si="11"/>
        <v/>
      </c>
    </row>
    <row r="725" spans="1:7" x14ac:dyDescent="0.25">
      <c r="A725" s="33"/>
      <c r="B725" s="34"/>
      <c r="C725" s="34"/>
      <c r="D725" s="34"/>
      <c r="E725" s="35"/>
      <c r="F725" s="34"/>
      <c r="G725" s="36" t="str">
        <f t="shared" si="11"/>
        <v/>
      </c>
    </row>
    <row r="726" spans="1:7" x14ac:dyDescent="0.25">
      <c r="A726" s="33"/>
      <c r="B726" s="34"/>
      <c r="C726" s="34"/>
      <c r="D726" s="34"/>
      <c r="E726" s="35"/>
      <c r="F726" s="34"/>
      <c r="G726" s="36" t="str">
        <f t="shared" si="11"/>
        <v/>
      </c>
    </row>
    <row r="727" spans="1:7" x14ac:dyDescent="0.25">
      <c r="A727" s="33"/>
      <c r="B727" s="34"/>
      <c r="C727" s="34"/>
      <c r="D727" s="34"/>
      <c r="E727" s="35"/>
      <c r="F727" s="34"/>
      <c r="G727" s="36" t="str">
        <f t="shared" si="11"/>
        <v/>
      </c>
    </row>
    <row r="728" spans="1:7" x14ac:dyDescent="0.25">
      <c r="A728" s="33"/>
      <c r="B728" s="34"/>
      <c r="C728" s="34"/>
      <c r="D728" s="34"/>
      <c r="E728" s="35"/>
      <c r="F728" s="34"/>
      <c r="G728" s="36" t="str">
        <f t="shared" si="11"/>
        <v/>
      </c>
    </row>
    <row r="729" spans="1:7" x14ac:dyDescent="0.25">
      <c r="A729" s="33"/>
      <c r="B729" s="34"/>
      <c r="C729" s="34"/>
      <c r="D729" s="34"/>
      <c r="E729" s="35"/>
      <c r="F729" s="34"/>
      <c r="G729" s="36" t="str">
        <f t="shared" si="11"/>
        <v/>
      </c>
    </row>
    <row r="730" spans="1:7" x14ac:dyDescent="0.25">
      <c r="A730" s="33"/>
      <c r="B730" s="34"/>
      <c r="C730" s="34"/>
      <c r="D730" s="34"/>
      <c r="E730" s="35"/>
      <c r="F730" s="34"/>
      <c r="G730" s="36" t="str">
        <f t="shared" si="11"/>
        <v/>
      </c>
    </row>
    <row r="731" spans="1:7" x14ac:dyDescent="0.25">
      <c r="A731" s="33"/>
      <c r="B731" s="34"/>
      <c r="C731" s="34"/>
      <c r="D731" s="34"/>
      <c r="E731" s="35"/>
      <c r="F731" s="34"/>
      <c r="G731" s="36" t="str">
        <f t="shared" si="11"/>
        <v/>
      </c>
    </row>
    <row r="732" spans="1:7" x14ac:dyDescent="0.25">
      <c r="A732" s="33"/>
      <c r="B732" s="34"/>
      <c r="C732" s="34"/>
      <c r="D732" s="34"/>
      <c r="E732" s="35"/>
      <c r="F732" s="34"/>
      <c r="G732" s="36" t="str">
        <f t="shared" si="11"/>
        <v/>
      </c>
    </row>
    <row r="733" spans="1:7" x14ac:dyDescent="0.25">
      <c r="A733" s="33"/>
      <c r="B733" s="34"/>
      <c r="C733" s="34"/>
      <c r="D733" s="34"/>
      <c r="E733" s="35"/>
      <c r="F733" s="34"/>
      <c r="G733" s="36" t="str">
        <f t="shared" si="11"/>
        <v/>
      </c>
    </row>
    <row r="734" spans="1:7" x14ac:dyDescent="0.25">
      <c r="A734" s="33"/>
      <c r="B734" s="34"/>
      <c r="C734" s="34"/>
      <c r="D734" s="34"/>
      <c r="E734" s="35"/>
      <c r="F734" s="34"/>
      <c r="G734" s="36" t="str">
        <f t="shared" si="11"/>
        <v/>
      </c>
    </row>
    <row r="735" spans="1:7" x14ac:dyDescent="0.25">
      <c r="A735" s="33"/>
      <c r="B735" s="34"/>
      <c r="C735" s="34"/>
      <c r="D735" s="34"/>
      <c r="E735" s="35"/>
      <c r="F735" s="34"/>
      <c r="G735" s="36" t="str">
        <f t="shared" si="11"/>
        <v/>
      </c>
    </row>
    <row r="736" spans="1:7" x14ac:dyDescent="0.25">
      <c r="A736" s="33"/>
      <c r="B736" s="34"/>
      <c r="C736" s="34"/>
      <c r="D736" s="34"/>
      <c r="E736" s="35"/>
      <c r="F736" s="34"/>
      <c r="G736" s="36" t="str">
        <f t="shared" si="11"/>
        <v/>
      </c>
    </row>
    <row r="737" spans="1:7" x14ac:dyDescent="0.25">
      <c r="A737" s="33"/>
      <c r="B737" s="34"/>
      <c r="C737" s="34"/>
      <c r="D737" s="34"/>
      <c r="E737" s="35"/>
      <c r="F737" s="34"/>
      <c r="G737" s="36" t="str">
        <f t="shared" si="11"/>
        <v/>
      </c>
    </row>
    <row r="738" spans="1:7" x14ac:dyDescent="0.25">
      <c r="A738" s="33"/>
      <c r="B738" s="34"/>
      <c r="C738" s="34"/>
      <c r="D738" s="34"/>
      <c r="E738" s="35"/>
      <c r="F738" s="34"/>
      <c r="G738" s="36" t="str">
        <f t="shared" si="11"/>
        <v/>
      </c>
    </row>
    <row r="739" spans="1:7" x14ac:dyDescent="0.25">
      <c r="A739" s="33"/>
      <c r="B739" s="34"/>
      <c r="C739" s="34"/>
      <c r="D739" s="34"/>
      <c r="E739" s="35"/>
      <c r="F739" s="34"/>
      <c r="G739" s="36" t="str">
        <f t="shared" si="11"/>
        <v/>
      </c>
    </row>
    <row r="740" spans="1:7" x14ac:dyDescent="0.25">
      <c r="A740" s="33"/>
      <c r="B740" s="34"/>
      <c r="C740" s="34"/>
      <c r="D740" s="34"/>
      <c r="E740" s="35"/>
      <c r="F740" s="34"/>
      <c r="G740" s="36" t="str">
        <f t="shared" si="11"/>
        <v/>
      </c>
    </row>
    <row r="741" spans="1:7" x14ac:dyDescent="0.25">
      <c r="A741" s="33"/>
      <c r="B741" s="34"/>
      <c r="C741" s="34"/>
      <c r="D741" s="34"/>
      <c r="E741" s="35"/>
      <c r="F741" s="34"/>
      <c r="G741" s="36" t="str">
        <f t="shared" si="11"/>
        <v/>
      </c>
    </row>
    <row r="742" spans="1:7" x14ac:dyDescent="0.25">
      <c r="A742" s="33"/>
      <c r="B742" s="34"/>
      <c r="C742" s="34"/>
      <c r="D742" s="34"/>
      <c r="E742" s="35"/>
      <c r="F742" s="34"/>
      <c r="G742" s="36" t="str">
        <f t="shared" si="11"/>
        <v/>
      </c>
    </row>
    <row r="743" spans="1:7" x14ac:dyDescent="0.25">
      <c r="A743" s="33"/>
      <c r="B743" s="34"/>
      <c r="C743" s="34"/>
      <c r="D743" s="34"/>
      <c r="E743" s="35"/>
      <c r="F743" s="34"/>
      <c r="G743" s="36" t="str">
        <f t="shared" si="11"/>
        <v/>
      </c>
    </row>
    <row r="744" spans="1:7" x14ac:dyDescent="0.25">
      <c r="A744" s="33"/>
      <c r="B744" s="34"/>
      <c r="C744" s="34"/>
      <c r="D744" s="34"/>
      <c r="E744" s="35"/>
      <c r="F744" s="34"/>
      <c r="G744" s="36" t="str">
        <f t="shared" si="11"/>
        <v/>
      </c>
    </row>
    <row r="745" spans="1:7" x14ac:dyDescent="0.25">
      <c r="A745" s="33"/>
      <c r="B745" s="34"/>
      <c r="C745" s="34"/>
      <c r="D745" s="34"/>
      <c r="E745" s="35"/>
      <c r="F745" s="34"/>
      <c r="G745" s="36" t="str">
        <f t="shared" si="11"/>
        <v/>
      </c>
    </row>
    <row r="746" spans="1:7" x14ac:dyDescent="0.25">
      <c r="A746" s="33"/>
      <c r="B746" s="34"/>
      <c r="C746" s="34"/>
      <c r="D746" s="34"/>
      <c r="E746" s="35"/>
      <c r="F746" s="34"/>
      <c r="G746" s="36" t="str">
        <f t="shared" si="11"/>
        <v/>
      </c>
    </row>
    <row r="747" spans="1:7" x14ac:dyDescent="0.25">
      <c r="A747" s="33"/>
      <c r="B747" s="34"/>
      <c r="C747" s="34"/>
      <c r="D747" s="34"/>
      <c r="E747" s="35"/>
      <c r="F747" s="34"/>
      <c r="G747" s="36" t="str">
        <f t="shared" si="11"/>
        <v/>
      </c>
    </row>
    <row r="748" spans="1:7" x14ac:dyDescent="0.25">
      <c r="A748" s="33"/>
      <c r="B748" s="34"/>
      <c r="C748" s="34"/>
      <c r="D748" s="34"/>
      <c r="E748" s="35"/>
      <c r="F748" s="34"/>
      <c r="G748" s="36" t="str">
        <f t="shared" si="11"/>
        <v/>
      </c>
    </row>
    <row r="749" spans="1:7" x14ac:dyDescent="0.25">
      <c r="A749" s="33"/>
      <c r="B749" s="34"/>
      <c r="C749" s="34"/>
      <c r="D749" s="34"/>
      <c r="E749" s="35"/>
      <c r="F749" s="34"/>
      <c r="G749" s="36" t="str">
        <f t="shared" si="11"/>
        <v/>
      </c>
    </row>
    <row r="750" spans="1:7" x14ac:dyDescent="0.25">
      <c r="A750" s="33"/>
      <c r="B750" s="34"/>
      <c r="C750" s="34"/>
      <c r="D750" s="34"/>
      <c r="E750" s="35"/>
      <c r="F750" s="34"/>
      <c r="G750" s="36" t="str">
        <f t="shared" si="11"/>
        <v/>
      </c>
    </row>
    <row r="751" spans="1:7" x14ac:dyDescent="0.25">
      <c r="A751" s="33"/>
      <c r="B751" s="34"/>
      <c r="C751" s="34"/>
      <c r="D751" s="34"/>
      <c r="E751" s="35"/>
      <c r="F751" s="34"/>
      <c r="G751" s="36" t="str">
        <f t="shared" si="11"/>
        <v/>
      </c>
    </row>
    <row r="752" spans="1:7" x14ac:dyDescent="0.25">
      <c r="A752" s="33"/>
      <c r="B752" s="34"/>
      <c r="C752" s="34"/>
      <c r="D752" s="34"/>
      <c r="E752" s="35"/>
      <c r="F752" s="34"/>
      <c r="G752" s="36" t="str">
        <f t="shared" si="11"/>
        <v/>
      </c>
    </row>
    <row r="753" spans="1:7" x14ac:dyDescent="0.25">
      <c r="A753" s="33"/>
      <c r="B753" s="34"/>
      <c r="C753" s="34"/>
      <c r="D753" s="34"/>
      <c r="E753" s="35"/>
      <c r="F753" s="34"/>
      <c r="G753" s="36" t="str">
        <f t="shared" si="11"/>
        <v/>
      </c>
    </row>
    <row r="754" spans="1:7" x14ac:dyDescent="0.25">
      <c r="A754" s="33"/>
      <c r="B754" s="34"/>
      <c r="C754" s="34"/>
      <c r="D754" s="34"/>
      <c r="E754" s="35"/>
      <c r="F754" s="34"/>
      <c r="G754" s="36" t="str">
        <f t="shared" si="11"/>
        <v/>
      </c>
    </row>
    <row r="755" spans="1:7" x14ac:dyDescent="0.25">
      <c r="A755" s="33"/>
      <c r="B755" s="34"/>
      <c r="C755" s="34"/>
      <c r="D755" s="34"/>
      <c r="E755" s="35"/>
      <c r="F755" s="34"/>
      <c r="G755" s="36" t="str">
        <f t="shared" si="11"/>
        <v/>
      </c>
    </row>
    <row r="756" spans="1:7" x14ac:dyDescent="0.25">
      <c r="A756" s="33"/>
      <c r="B756" s="34"/>
      <c r="C756" s="34"/>
      <c r="D756" s="34"/>
      <c r="E756" s="35"/>
      <c r="F756" s="34"/>
      <c r="G756" s="36" t="str">
        <f t="shared" si="11"/>
        <v/>
      </c>
    </row>
    <row r="757" spans="1:7" x14ac:dyDescent="0.25">
      <c r="A757" s="33"/>
      <c r="B757" s="34"/>
      <c r="C757" s="34"/>
      <c r="D757" s="34"/>
      <c r="E757" s="35"/>
      <c r="F757" s="34"/>
      <c r="G757" s="36" t="str">
        <f t="shared" si="11"/>
        <v/>
      </c>
    </row>
    <row r="758" spans="1:7" x14ac:dyDescent="0.25">
      <c r="A758" s="33"/>
      <c r="B758" s="34"/>
      <c r="C758" s="34"/>
      <c r="D758" s="34"/>
      <c r="E758" s="35"/>
      <c r="F758" s="34"/>
      <c r="G758" s="36" t="str">
        <f t="shared" si="11"/>
        <v/>
      </c>
    </row>
    <row r="759" spans="1:7" x14ac:dyDescent="0.25">
      <c r="A759" s="33"/>
      <c r="B759" s="34"/>
      <c r="C759" s="34"/>
      <c r="D759" s="34"/>
      <c r="E759" s="35"/>
      <c r="F759" s="34"/>
      <c r="G759" s="36" t="str">
        <f t="shared" si="11"/>
        <v/>
      </c>
    </row>
    <row r="760" spans="1:7" x14ac:dyDescent="0.25">
      <c r="A760" s="33"/>
      <c r="B760" s="34"/>
      <c r="C760" s="34"/>
      <c r="D760" s="34"/>
      <c r="E760" s="35"/>
      <c r="F760" s="34"/>
      <c r="G760" s="36" t="str">
        <f t="shared" si="11"/>
        <v/>
      </c>
    </row>
    <row r="761" spans="1:7" x14ac:dyDescent="0.25">
      <c r="A761" s="33"/>
      <c r="B761" s="34"/>
      <c r="C761" s="34"/>
      <c r="D761" s="34"/>
      <c r="E761" s="35"/>
      <c r="F761" s="34"/>
      <c r="G761" s="36" t="str">
        <f t="shared" si="11"/>
        <v/>
      </c>
    </row>
    <row r="762" spans="1:7" x14ac:dyDescent="0.25">
      <c r="A762" s="33"/>
      <c r="B762" s="34"/>
      <c r="C762" s="34"/>
      <c r="D762" s="34"/>
      <c r="E762" s="35"/>
      <c r="F762" s="34"/>
      <c r="G762" s="36" t="str">
        <f t="shared" si="11"/>
        <v/>
      </c>
    </row>
    <row r="763" spans="1:7" x14ac:dyDescent="0.25">
      <c r="A763" s="33"/>
      <c r="B763" s="34"/>
      <c r="C763" s="34"/>
      <c r="D763" s="34"/>
      <c r="E763" s="35"/>
      <c r="F763" s="34"/>
      <c r="G763" s="36" t="str">
        <f t="shared" si="11"/>
        <v/>
      </c>
    </row>
    <row r="764" spans="1:7" x14ac:dyDescent="0.25">
      <c r="A764" s="33"/>
      <c r="B764" s="34"/>
      <c r="C764" s="34"/>
      <c r="D764" s="34"/>
      <c r="E764" s="35"/>
      <c r="F764" s="34"/>
      <c r="G764" s="36" t="str">
        <f t="shared" si="11"/>
        <v/>
      </c>
    </row>
    <row r="765" spans="1:7" x14ac:dyDescent="0.25">
      <c r="A765" s="33"/>
      <c r="B765" s="34"/>
      <c r="C765" s="34"/>
      <c r="D765" s="34"/>
      <c r="E765" s="35"/>
      <c r="F765" s="34"/>
      <c r="G765" s="36" t="str">
        <f t="shared" si="11"/>
        <v/>
      </c>
    </row>
    <row r="766" spans="1:7" x14ac:dyDescent="0.25">
      <c r="A766" s="33"/>
      <c r="B766" s="34"/>
      <c r="C766" s="34"/>
      <c r="D766" s="34"/>
      <c r="E766" s="35"/>
      <c r="F766" s="34"/>
      <c r="G766" s="36" t="str">
        <f t="shared" si="11"/>
        <v/>
      </c>
    </row>
    <row r="767" spans="1:7" x14ac:dyDescent="0.25">
      <c r="A767" s="33"/>
      <c r="B767" s="34"/>
      <c r="C767" s="34"/>
      <c r="D767" s="34"/>
      <c r="E767" s="35"/>
      <c r="F767" s="34"/>
      <c r="G767" s="36" t="str">
        <f t="shared" si="11"/>
        <v/>
      </c>
    </row>
    <row r="768" spans="1:7" x14ac:dyDescent="0.25">
      <c r="A768" s="33"/>
      <c r="B768" s="34"/>
      <c r="C768" s="34"/>
      <c r="D768" s="34"/>
      <c r="E768" s="35"/>
      <c r="F768" s="34"/>
      <c r="G768" s="36" t="str">
        <f t="shared" si="11"/>
        <v/>
      </c>
    </row>
    <row r="769" spans="1:7" x14ac:dyDescent="0.25">
      <c r="A769" s="33"/>
      <c r="B769" s="34"/>
      <c r="C769" s="34"/>
      <c r="D769" s="34"/>
      <c r="E769" s="35"/>
      <c r="F769" s="34"/>
      <c r="G769" s="36" t="str">
        <f t="shared" si="11"/>
        <v/>
      </c>
    </row>
    <row r="770" spans="1:7" x14ac:dyDescent="0.25">
      <c r="A770" s="33"/>
      <c r="B770" s="34"/>
      <c r="C770" s="34"/>
      <c r="D770" s="34"/>
      <c r="E770" s="35"/>
      <c r="F770" s="34"/>
      <c r="G770" s="36" t="str">
        <f t="shared" si="11"/>
        <v/>
      </c>
    </row>
    <row r="771" spans="1:7" x14ac:dyDescent="0.25">
      <c r="A771" s="33"/>
      <c r="B771" s="34"/>
      <c r="C771" s="34"/>
      <c r="D771" s="34"/>
      <c r="E771" s="35"/>
      <c r="F771" s="34"/>
      <c r="G771" s="36" t="str">
        <f t="shared" si="11"/>
        <v/>
      </c>
    </row>
    <row r="772" spans="1:7" x14ac:dyDescent="0.25">
      <c r="A772" s="33"/>
      <c r="B772" s="34"/>
      <c r="C772" s="34"/>
      <c r="D772" s="34"/>
      <c r="E772" s="35"/>
      <c r="F772" s="34"/>
      <c r="G772" s="36" t="str">
        <f t="shared" si="11"/>
        <v/>
      </c>
    </row>
    <row r="773" spans="1:7" x14ac:dyDescent="0.25">
      <c r="A773" s="33"/>
      <c r="B773" s="34"/>
      <c r="C773" s="34"/>
      <c r="D773" s="34"/>
      <c r="E773" s="35"/>
      <c r="F773" s="34"/>
      <c r="G773" s="36" t="str">
        <f t="shared" si="11"/>
        <v/>
      </c>
    </row>
    <row r="774" spans="1:7" x14ac:dyDescent="0.25">
      <c r="A774" s="33"/>
      <c r="B774" s="34"/>
      <c r="C774" s="34"/>
      <c r="D774" s="34"/>
      <c r="E774" s="35"/>
      <c r="F774" s="34"/>
      <c r="G774" s="36" t="str">
        <f t="shared" ref="G774:G837" si="12">IF(A774="","",DATE(YEAR(A774),MONTH(A774),1))</f>
        <v/>
      </c>
    </row>
    <row r="775" spans="1:7" x14ac:dyDescent="0.25">
      <c r="A775" s="33"/>
      <c r="B775" s="34"/>
      <c r="C775" s="34"/>
      <c r="D775" s="34"/>
      <c r="E775" s="35"/>
      <c r="F775" s="34"/>
      <c r="G775" s="36" t="str">
        <f t="shared" si="12"/>
        <v/>
      </c>
    </row>
    <row r="776" spans="1:7" x14ac:dyDescent="0.25">
      <c r="A776" s="33"/>
      <c r="B776" s="34"/>
      <c r="C776" s="34"/>
      <c r="D776" s="34"/>
      <c r="E776" s="35"/>
      <c r="F776" s="34"/>
      <c r="G776" s="36" t="str">
        <f t="shared" si="12"/>
        <v/>
      </c>
    </row>
    <row r="777" spans="1:7" x14ac:dyDescent="0.25">
      <c r="A777" s="33"/>
      <c r="B777" s="34"/>
      <c r="C777" s="34"/>
      <c r="D777" s="34"/>
      <c r="E777" s="35"/>
      <c r="F777" s="34"/>
      <c r="G777" s="36" t="str">
        <f t="shared" si="12"/>
        <v/>
      </c>
    </row>
    <row r="778" spans="1:7" x14ac:dyDescent="0.25">
      <c r="A778" s="33"/>
      <c r="B778" s="34"/>
      <c r="C778" s="34"/>
      <c r="D778" s="34"/>
      <c r="E778" s="35"/>
      <c r="F778" s="34"/>
      <c r="G778" s="36" t="str">
        <f t="shared" si="12"/>
        <v/>
      </c>
    </row>
    <row r="779" spans="1:7" x14ac:dyDescent="0.25">
      <c r="A779" s="33"/>
      <c r="B779" s="34"/>
      <c r="C779" s="34"/>
      <c r="D779" s="34"/>
      <c r="E779" s="35"/>
      <c r="F779" s="34"/>
      <c r="G779" s="36" t="str">
        <f t="shared" si="12"/>
        <v/>
      </c>
    </row>
    <row r="780" spans="1:7" x14ac:dyDescent="0.25">
      <c r="A780" s="33"/>
      <c r="B780" s="34"/>
      <c r="C780" s="34"/>
      <c r="D780" s="34"/>
      <c r="E780" s="35"/>
      <c r="F780" s="34"/>
      <c r="G780" s="36" t="str">
        <f t="shared" si="12"/>
        <v/>
      </c>
    </row>
    <row r="781" spans="1:7" x14ac:dyDescent="0.25">
      <c r="A781" s="33"/>
      <c r="B781" s="34"/>
      <c r="C781" s="34"/>
      <c r="D781" s="34"/>
      <c r="E781" s="35"/>
      <c r="F781" s="34"/>
      <c r="G781" s="36" t="str">
        <f t="shared" si="12"/>
        <v/>
      </c>
    </row>
    <row r="782" spans="1:7" x14ac:dyDescent="0.25">
      <c r="A782" s="33"/>
      <c r="B782" s="34"/>
      <c r="C782" s="34"/>
      <c r="D782" s="34"/>
      <c r="E782" s="35"/>
      <c r="F782" s="34"/>
      <c r="G782" s="36" t="str">
        <f t="shared" si="12"/>
        <v/>
      </c>
    </row>
    <row r="783" spans="1:7" x14ac:dyDescent="0.25">
      <c r="A783" s="33"/>
      <c r="B783" s="34"/>
      <c r="C783" s="34"/>
      <c r="D783" s="34"/>
      <c r="E783" s="35"/>
      <c r="F783" s="34"/>
      <c r="G783" s="36" t="str">
        <f t="shared" si="12"/>
        <v/>
      </c>
    </row>
    <row r="784" spans="1:7" x14ac:dyDescent="0.25">
      <c r="A784" s="33"/>
      <c r="B784" s="34"/>
      <c r="C784" s="34"/>
      <c r="D784" s="34"/>
      <c r="E784" s="35"/>
      <c r="F784" s="34"/>
      <c r="G784" s="36" t="str">
        <f t="shared" si="12"/>
        <v/>
      </c>
    </row>
    <row r="785" spans="1:7" x14ac:dyDescent="0.25">
      <c r="A785" s="33"/>
      <c r="B785" s="34"/>
      <c r="C785" s="34"/>
      <c r="D785" s="34"/>
      <c r="E785" s="35"/>
      <c r="F785" s="34"/>
      <c r="G785" s="36" t="str">
        <f t="shared" si="12"/>
        <v/>
      </c>
    </row>
    <row r="786" spans="1:7" x14ac:dyDescent="0.25">
      <c r="A786" s="33"/>
      <c r="B786" s="34"/>
      <c r="C786" s="34"/>
      <c r="D786" s="34"/>
      <c r="E786" s="35"/>
      <c r="F786" s="34"/>
      <c r="G786" s="36" t="str">
        <f t="shared" si="12"/>
        <v/>
      </c>
    </row>
    <row r="787" spans="1:7" x14ac:dyDescent="0.25">
      <c r="A787" s="33"/>
      <c r="B787" s="34"/>
      <c r="C787" s="34"/>
      <c r="D787" s="34"/>
      <c r="E787" s="35"/>
      <c r="F787" s="34"/>
      <c r="G787" s="36" t="str">
        <f t="shared" si="12"/>
        <v/>
      </c>
    </row>
    <row r="788" spans="1:7" x14ac:dyDescent="0.25">
      <c r="A788" s="33"/>
      <c r="B788" s="34"/>
      <c r="C788" s="34"/>
      <c r="D788" s="34"/>
      <c r="E788" s="35"/>
      <c r="F788" s="34"/>
      <c r="G788" s="36" t="str">
        <f t="shared" si="12"/>
        <v/>
      </c>
    </row>
    <row r="789" spans="1:7" x14ac:dyDescent="0.25">
      <c r="A789" s="33"/>
      <c r="B789" s="34"/>
      <c r="C789" s="34"/>
      <c r="D789" s="34"/>
      <c r="E789" s="35"/>
      <c r="F789" s="34"/>
      <c r="G789" s="36" t="str">
        <f t="shared" si="12"/>
        <v/>
      </c>
    </row>
    <row r="790" spans="1:7" x14ac:dyDescent="0.25">
      <c r="A790" s="33"/>
      <c r="B790" s="34"/>
      <c r="C790" s="34"/>
      <c r="D790" s="34"/>
      <c r="E790" s="35"/>
      <c r="F790" s="34"/>
      <c r="G790" s="36" t="str">
        <f t="shared" si="12"/>
        <v/>
      </c>
    </row>
    <row r="791" spans="1:7" x14ac:dyDescent="0.25">
      <c r="A791" s="33"/>
      <c r="B791" s="34"/>
      <c r="C791" s="34"/>
      <c r="D791" s="34"/>
      <c r="E791" s="35"/>
      <c r="F791" s="34"/>
      <c r="G791" s="36" t="str">
        <f t="shared" si="12"/>
        <v/>
      </c>
    </row>
    <row r="792" spans="1:7" x14ac:dyDescent="0.25">
      <c r="A792" s="33"/>
      <c r="B792" s="34"/>
      <c r="C792" s="34"/>
      <c r="D792" s="34"/>
      <c r="E792" s="35"/>
      <c r="F792" s="34"/>
      <c r="G792" s="36" t="str">
        <f t="shared" si="12"/>
        <v/>
      </c>
    </row>
    <row r="793" spans="1:7" x14ac:dyDescent="0.25">
      <c r="A793" s="33"/>
      <c r="B793" s="34"/>
      <c r="C793" s="34"/>
      <c r="D793" s="34"/>
      <c r="E793" s="35"/>
      <c r="F793" s="34"/>
      <c r="G793" s="36" t="str">
        <f t="shared" si="12"/>
        <v/>
      </c>
    </row>
    <row r="794" spans="1:7" x14ac:dyDescent="0.25">
      <c r="A794" s="33"/>
      <c r="B794" s="34"/>
      <c r="C794" s="34"/>
      <c r="D794" s="34"/>
      <c r="E794" s="35"/>
      <c r="F794" s="34"/>
      <c r="G794" s="36" t="str">
        <f t="shared" si="12"/>
        <v/>
      </c>
    </row>
    <row r="795" spans="1:7" x14ac:dyDescent="0.25">
      <c r="A795" s="33"/>
      <c r="B795" s="34"/>
      <c r="C795" s="34"/>
      <c r="D795" s="34"/>
      <c r="E795" s="35"/>
      <c r="F795" s="34"/>
      <c r="G795" s="36" t="str">
        <f t="shared" si="12"/>
        <v/>
      </c>
    </row>
    <row r="796" spans="1:7" x14ac:dyDescent="0.25">
      <c r="A796" s="33"/>
      <c r="B796" s="34"/>
      <c r="C796" s="34"/>
      <c r="D796" s="34"/>
      <c r="E796" s="35"/>
      <c r="F796" s="34"/>
      <c r="G796" s="36" t="str">
        <f t="shared" si="12"/>
        <v/>
      </c>
    </row>
    <row r="797" spans="1:7" x14ac:dyDescent="0.25">
      <c r="A797" s="33"/>
      <c r="B797" s="34"/>
      <c r="C797" s="34"/>
      <c r="D797" s="34"/>
      <c r="E797" s="35"/>
      <c r="F797" s="34"/>
      <c r="G797" s="36" t="str">
        <f t="shared" si="12"/>
        <v/>
      </c>
    </row>
    <row r="798" spans="1:7" x14ac:dyDescent="0.25">
      <c r="A798" s="33"/>
      <c r="B798" s="34"/>
      <c r="C798" s="34"/>
      <c r="D798" s="34"/>
      <c r="E798" s="35"/>
      <c r="F798" s="34"/>
      <c r="G798" s="36" t="str">
        <f t="shared" si="12"/>
        <v/>
      </c>
    </row>
    <row r="799" spans="1:7" x14ac:dyDescent="0.25">
      <c r="A799" s="33"/>
      <c r="B799" s="34"/>
      <c r="C799" s="34"/>
      <c r="D799" s="34"/>
      <c r="E799" s="35"/>
      <c r="F799" s="34"/>
      <c r="G799" s="36" t="str">
        <f t="shared" si="12"/>
        <v/>
      </c>
    </row>
    <row r="800" spans="1:7" x14ac:dyDescent="0.25">
      <c r="A800" s="33"/>
      <c r="B800" s="34"/>
      <c r="C800" s="34"/>
      <c r="D800" s="34"/>
      <c r="E800" s="35"/>
      <c r="F800" s="34"/>
      <c r="G800" s="36" t="str">
        <f t="shared" si="12"/>
        <v/>
      </c>
    </row>
    <row r="801" spans="1:7" x14ac:dyDescent="0.25">
      <c r="A801" s="33"/>
      <c r="B801" s="34"/>
      <c r="C801" s="34"/>
      <c r="D801" s="34"/>
      <c r="E801" s="35"/>
      <c r="F801" s="34"/>
      <c r="G801" s="36" t="str">
        <f t="shared" si="12"/>
        <v/>
      </c>
    </row>
    <row r="802" spans="1:7" x14ac:dyDescent="0.25">
      <c r="A802" s="33"/>
      <c r="B802" s="34"/>
      <c r="C802" s="34"/>
      <c r="D802" s="34"/>
      <c r="E802" s="35"/>
      <c r="F802" s="34"/>
      <c r="G802" s="36" t="str">
        <f t="shared" si="12"/>
        <v/>
      </c>
    </row>
    <row r="803" spans="1:7" x14ac:dyDescent="0.25">
      <c r="A803" s="33"/>
      <c r="B803" s="34"/>
      <c r="C803" s="34"/>
      <c r="D803" s="34"/>
      <c r="E803" s="35"/>
      <c r="F803" s="34"/>
      <c r="G803" s="36" t="str">
        <f t="shared" si="12"/>
        <v/>
      </c>
    </row>
    <row r="804" spans="1:7" x14ac:dyDescent="0.25">
      <c r="A804" s="33"/>
      <c r="B804" s="34"/>
      <c r="C804" s="34"/>
      <c r="D804" s="34"/>
      <c r="E804" s="35"/>
      <c r="F804" s="34"/>
      <c r="G804" s="36" t="str">
        <f t="shared" si="12"/>
        <v/>
      </c>
    </row>
    <row r="805" spans="1:7" x14ac:dyDescent="0.25">
      <c r="A805" s="33"/>
      <c r="B805" s="34"/>
      <c r="C805" s="34"/>
      <c r="D805" s="34"/>
      <c r="E805" s="35"/>
      <c r="F805" s="34"/>
      <c r="G805" s="36" t="str">
        <f t="shared" si="12"/>
        <v/>
      </c>
    </row>
    <row r="806" spans="1:7" x14ac:dyDescent="0.25">
      <c r="A806" s="33"/>
      <c r="B806" s="34"/>
      <c r="C806" s="34"/>
      <c r="D806" s="34"/>
      <c r="E806" s="35"/>
      <c r="F806" s="34"/>
      <c r="G806" s="36" t="str">
        <f t="shared" si="12"/>
        <v/>
      </c>
    </row>
    <row r="807" spans="1:7" x14ac:dyDescent="0.25">
      <c r="A807" s="33"/>
      <c r="B807" s="34"/>
      <c r="C807" s="34"/>
      <c r="D807" s="34"/>
      <c r="E807" s="35"/>
      <c r="F807" s="34"/>
      <c r="G807" s="36" t="str">
        <f t="shared" si="12"/>
        <v/>
      </c>
    </row>
    <row r="808" spans="1:7" x14ac:dyDescent="0.25">
      <c r="A808" s="33"/>
      <c r="B808" s="34"/>
      <c r="C808" s="34"/>
      <c r="D808" s="34"/>
      <c r="E808" s="35"/>
      <c r="F808" s="34"/>
      <c r="G808" s="36" t="str">
        <f t="shared" si="12"/>
        <v/>
      </c>
    </row>
    <row r="809" spans="1:7" x14ac:dyDescent="0.25">
      <c r="A809" s="33"/>
      <c r="B809" s="34"/>
      <c r="C809" s="34"/>
      <c r="D809" s="34"/>
      <c r="E809" s="35"/>
      <c r="F809" s="34"/>
      <c r="G809" s="36" t="str">
        <f t="shared" si="12"/>
        <v/>
      </c>
    </row>
    <row r="810" spans="1:7" x14ac:dyDescent="0.25">
      <c r="A810" s="33"/>
      <c r="B810" s="34"/>
      <c r="C810" s="34"/>
      <c r="D810" s="34"/>
      <c r="E810" s="35"/>
      <c r="F810" s="34"/>
      <c r="G810" s="36" t="str">
        <f t="shared" si="12"/>
        <v/>
      </c>
    </row>
    <row r="811" spans="1:7" x14ac:dyDescent="0.25">
      <c r="A811" s="33"/>
      <c r="B811" s="34"/>
      <c r="C811" s="34"/>
      <c r="D811" s="34"/>
      <c r="E811" s="35"/>
      <c r="F811" s="34"/>
      <c r="G811" s="36" t="str">
        <f t="shared" si="12"/>
        <v/>
      </c>
    </row>
    <row r="812" spans="1:7" x14ac:dyDescent="0.25">
      <c r="A812" s="33"/>
      <c r="B812" s="34"/>
      <c r="C812" s="34"/>
      <c r="D812" s="34"/>
      <c r="E812" s="35"/>
      <c r="F812" s="34"/>
      <c r="G812" s="36" t="str">
        <f t="shared" si="12"/>
        <v/>
      </c>
    </row>
    <row r="813" spans="1:7" x14ac:dyDescent="0.25">
      <c r="A813" s="33"/>
      <c r="B813" s="34"/>
      <c r="C813" s="34"/>
      <c r="D813" s="34"/>
      <c r="E813" s="35"/>
      <c r="F813" s="34"/>
      <c r="G813" s="36" t="str">
        <f t="shared" si="12"/>
        <v/>
      </c>
    </row>
    <row r="814" spans="1:7" x14ac:dyDescent="0.25">
      <c r="A814" s="33"/>
      <c r="B814" s="34"/>
      <c r="C814" s="34"/>
      <c r="D814" s="34"/>
      <c r="E814" s="35"/>
      <c r="F814" s="34"/>
      <c r="G814" s="36" t="str">
        <f t="shared" si="12"/>
        <v/>
      </c>
    </row>
    <row r="815" spans="1:7" x14ac:dyDescent="0.25">
      <c r="A815" s="33"/>
      <c r="B815" s="34"/>
      <c r="C815" s="34"/>
      <c r="D815" s="34"/>
      <c r="E815" s="35"/>
      <c r="F815" s="34"/>
      <c r="G815" s="36" t="str">
        <f t="shared" si="12"/>
        <v/>
      </c>
    </row>
    <row r="816" spans="1:7" x14ac:dyDescent="0.25">
      <c r="A816" s="33"/>
      <c r="B816" s="34"/>
      <c r="C816" s="34"/>
      <c r="D816" s="34"/>
      <c r="E816" s="35"/>
      <c r="F816" s="34"/>
      <c r="G816" s="36" t="str">
        <f t="shared" si="12"/>
        <v/>
      </c>
    </row>
    <row r="817" spans="1:7" x14ac:dyDescent="0.25">
      <c r="A817" s="33"/>
      <c r="B817" s="34"/>
      <c r="C817" s="34"/>
      <c r="D817" s="34"/>
      <c r="E817" s="35"/>
      <c r="F817" s="34"/>
      <c r="G817" s="36" t="str">
        <f t="shared" si="12"/>
        <v/>
      </c>
    </row>
    <row r="818" spans="1:7" x14ac:dyDescent="0.25">
      <c r="A818" s="33"/>
      <c r="B818" s="34"/>
      <c r="C818" s="34"/>
      <c r="D818" s="34"/>
      <c r="E818" s="35"/>
      <c r="F818" s="34"/>
      <c r="G818" s="36" t="str">
        <f t="shared" si="12"/>
        <v/>
      </c>
    </row>
    <row r="819" spans="1:7" x14ac:dyDescent="0.25">
      <c r="A819" s="33"/>
      <c r="B819" s="34"/>
      <c r="C819" s="34"/>
      <c r="D819" s="34"/>
      <c r="E819" s="35"/>
      <c r="F819" s="34"/>
      <c r="G819" s="36" t="str">
        <f t="shared" si="12"/>
        <v/>
      </c>
    </row>
    <row r="820" spans="1:7" x14ac:dyDescent="0.25">
      <c r="A820" s="33"/>
      <c r="B820" s="34"/>
      <c r="C820" s="34"/>
      <c r="D820" s="34"/>
      <c r="E820" s="35"/>
      <c r="F820" s="34"/>
      <c r="G820" s="36" t="str">
        <f t="shared" si="12"/>
        <v/>
      </c>
    </row>
    <row r="821" spans="1:7" x14ac:dyDescent="0.25">
      <c r="A821" s="33"/>
      <c r="B821" s="34"/>
      <c r="C821" s="34"/>
      <c r="D821" s="34"/>
      <c r="E821" s="35"/>
      <c r="F821" s="34"/>
      <c r="G821" s="36" t="str">
        <f t="shared" si="12"/>
        <v/>
      </c>
    </row>
    <row r="822" spans="1:7" x14ac:dyDescent="0.25">
      <c r="A822" s="33"/>
      <c r="B822" s="34"/>
      <c r="C822" s="34"/>
      <c r="D822" s="34"/>
      <c r="E822" s="35"/>
      <c r="F822" s="34"/>
      <c r="G822" s="36" t="str">
        <f t="shared" si="12"/>
        <v/>
      </c>
    </row>
    <row r="823" spans="1:7" x14ac:dyDescent="0.25">
      <c r="A823" s="33"/>
      <c r="B823" s="34"/>
      <c r="C823" s="34"/>
      <c r="D823" s="34"/>
      <c r="E823" s="35"/>
      <c r="F823" s="34"/>
      <c r="G823" s="36" t="str">
        <f t="shared" si="12"/>
        <v/>
      </c>
    </row>
    <row r="824" spans="1:7" x14ac:dyDescent="0.25">
      <c r="A824" s="33"/>
      <c r="B824" s="34"/>
      <c r="C824" s="34"/>
      <c r="D824" s="34"/>
      <c r="E824" s="35"/>
      <c r="F824" s="34"/>
      <c r="G824" s="36" t="str">
        <f t="shared" si="12"/>
        <v/>
      </c>
    </row>
    <row r="825" spans="1:7" x14ac:dyDescent="0.25">
      <c r="A825" s="33"/>
      <c r="B825" s="34"/>
      <c r="C825" s="34"/>
      <c r="D825" s="34"/>
      <c r="E825" s="35"/>
      <c r="F825" s="34"/>
      <c r="G825" s="36" t="str">
        <f t="shared" si="12"/>
        <v/>
      </c>
    </row>
    <row r="826" spans="1:7" x14ac:dyDescent="0.25">
      <c r="A826" s="33"/>
      <c r="B826" s="34"/>
      <c r="C826" s="34"/>
      <c r="D826" s="34"/>
      <c r="E826" s="35"/>
      <c r="F826" s="34"/>
      <c r="G826" s="36" t="str">
        <f t="shared" si="12"/>
        <v/>
      </c>
    </row>
    <row r="827" spans="1:7" x14ac:dyDescent="0.25">
      <c r="A827" s="33"/>
      <c r="B827" s="34"/>
      <c r="C827" s="34"/>
      <c r="D827" s="34"/>
      <c r="E827" s="35"/>
      <c r="F827" s="34"/>
      <c r="G827" s="36" t="str">
        <f t="shared" si="12"/>
        <v/>
      </c>
    </row>
    <row r="828" spans="1:7" x14ac:dyDescent="0.25">
      <c r="A828" s="33"/>
      <c r="B828" s="34"/>
      <c r="C828" s="34"/>
      <c r="D828" s="34"/>
      <c r="E828" s="35"/>
      <c r="F828" s="34"/>
      <c r="G828" s="36" t="str">
        <f t="shared" si="12"/>
        <v/>
      </c>
    </row>
    <row r="829" spans="1:7" x14ac:dyDescent="0.25">
      <c r="A829" s="33"/>
      <c r="B829" s="34"/>
      <c r="C829" s="34"/>
      <c r="D829" s="34"/>
      <c r="E829" s="35"/>
      <c r="F829" s="34"/>
      <c r="G829" s="36" t="str">
        <f t="shared" si="12"/>
        <v/>
      </c>
    </row>
    <row r="830" spans="1:7" x14ac:dyDescent="0.25">
      <c r="A830" s="33"/>
      <c r="B830" s="34"/>
      <c r="C830" s="34"/>
      <c r="D830" s="34"/>
      <c r="E830" s="35"/>
      <c r="F830" s="34"/>
      <c r="G830" s="36" t="str">
        <f t="shared" si="12"/>
        <v/>
      </c>
    </row>
    <row r="831" spans="1:7" x14ac:dyDescent="0.25">
      <c r="A831" s="33"/>
      <c r="B831" s="34"/>
      <c r="C831" s="34"/>
      <c r="D831" s="34"/>
      <c r="E831" s="35"/>
      <c r="F831" s="34"/>
      <c r="G831" s="36" t="str">
        <f t="shared" si="12"/>
        <v/>
      </c>
    </row>
    <row r="832" spans="1:7" x14ac:dyDescent="0.25">
      <c r="A832" s="33"/>
      <c r="B832" s="34"/>
      <c r="C832" s="34"/>
      <c r="D832" s="34"/>
      <c r="E832" s="35"/>
      <c r="F832" s="34"/>
      <c r="G832" s="36" t="str">
        <f t="shared" si="12"/>
        <v/>
      </c>
    </row>
    <row r="833" spans="1:7" x14ac:dyDescent="0.25">
      <c r="A833" s="33"/>
      <c r="B833" s="34"/>
      <c r="C833" s="34"/>
      <c r="D833" s="34"/>
      <c r="E833" s="35"/>
      <c r="F833" s="34"/>
      <c r="G833" s="36" t="str">
        <f t="shared" si="12"/>
        <v/>
      </c>
    </row>
    <row r="834" spans="1:7" x14ac:dyDescent="0.25">
      <c r="A834" s="33"/>
      <c r="B834" s="34"/>
      <c r="C834" s="34"/>
      <c r="D834" s="34"/>
      <c r="E834" s="35"/>
      <c r="F834" s="34"/>
      <c r="G834" s="36" t="str">
        <f t="shared" si="12"/>
        <v/>
      </c>
    </row>
    <row r="835" spans="1:7" x14ac:dyDescent="0.25">
      <c r="A835" s="33"/>
      <c r="B835" s="34"/>
      <c r="C835" s="34"/>
      <c r="D835" s="34"/>
      <c r="E835" s="35"/>
      <c r="F835" s="34"/>
      <c r="G835" s="36" t="str">
        <f t="shared" si="12"/>
        <v/>
      </c>
    </row>
    <row r="836" spans="1:7" x14ac:dyDescent="0.25">
      <c r="A836" s="33"/>
      <c r="B836" s="34"/>
      <c r="C836" s="34"/>
      <c r="D836" s="34"/>
      <c r="E836" s="35"/>
      <c r="F836" s="34"/>
      <c r="G836" s="36" t="str">
        <f t="shared" si="12"/>
        <v/>
      </c>
    </row>
    <row r="837" spans="1:7" x14ac:dyDescent="0.25">
      <c r="A837" s="33"/>
      <c r="B837" s="34"/>
      <c r="C837" s="34"/>
      <c r="D837" s="34"/>
      <c r="E837" s="35"/>
      <c r="F837" s="34"/>
      <c r="G837" s="36" t="str">
        <f t="shared" si="12"/>
        <v/>
      </c>
    </row>
    <row r="838" spans="1:7" x14ac:dyDescent="0.25">
      <c r="A838" s="33"/>
      <c r="B838" s="34"/>
      <c r="C838" s="34"/>
      <c r="D838" s="34"/>
      <c r="E838" s="35"/>
      <c r="F838" s="34"/>
      <c r="G838" s="36" t="str">
        <f t="shared" ref="G838:G901" si="13">IF(A838="","",DATE(YEAR(A838),MONTH(A838),1))</f>
        <v/>
      </c>
    </row>
    <row r="839" spans="1:7" x14ac:dyDescent="0.25">
      <c r="A839" s="33"/>
      <c r="B839" s="34"/>
      <c r="C839" s="34"/>
      <c r="D839" s="34"/>
      <c r="E839" s="35"/>
      <c r="F839" s="34"/>
      <c r="G839" s="36" t="str">
        <f t="shared" si="13"/>
        <v/>
      </c>
    </row>
    <row r="840" spans="1:7" x14ac:dyDescent="0.25">
      <c r="A840" s="33"/>
      <c r="B840" s="34"/>
      <c r="C840" s="34"/>
      <c r="D840" s="34"/>
      <c r="E840" s="35"/>
      <c r="F840" s="34"/>
      <c r="G840" s="36" t="str">
        <f t="shared" si="13"/>
        <v/>
      </c>
    </row>
    <row r="841" spans="1:7" x14ac:dyDescent="0.25">
      <c r="A841" s="33"/>
      <c r="B841" s="34"/>
      <c r="C841" s="34"/>
      <c r="D841" s="34"/>
      <c r="E841" s="35"/>
      <c r="F841" s="34"/>
      <c r="G841" s="36" t="str">
        <f t="shared" si="13"/>
        <v/>
      </c>
    </row>
    <row r="842" spans="1:7" x14ac:dyDescent="0.25">
      <c r="A842" s="33"/>
      <c r="B842" s="34"/>
      <c r="C842" s="34"/>
      <c r="D842" s="34"/>
      <c r="E842" s="35"/>
      <c r="F842" s="34"/>
      <c r="G842" s="36" t="str">
        <f t="shared" si="13"/>
        <v/>
      </c>
    </row>
    <row r="843" spans="1:7" x14ac:dyDescent="0.25">
      <c r="A843" s="33"/>
      <c r="B843" s="34"/>
      <c r="C843" s="34"/>
      <c r="D843" s="34"/>
      <c r="E843" s="35"/>
      <c r="F843" s="34"/>
      <c r="G843" s="36" t="str">
        <f t="shared" si="13"/>
        <v/>
      </c>
    </row>
    <row r="844" spans="1:7" x14ac:dyDescent="0.25">
      <c r="A844" s="33"/>
      <c r="B844" s="34"/>
      <c r="C844" s="34"/>
      <c r="D844" s="34"/>
      <c r="E844" s="35"/>
      <c r="F844" s="34"/>
      <c r="G844" s="36" t="str">
        <f t="shared" si="13"/>
        <v/>
      </c>
    </row>
    <row r="845" spans="1:7" x14ac:dyDescent="0.25">
      <c r="A845" s="33"/>
      <c r="B845" s="34"/>
      <c r="C845" s="34"/>
      <c r="D845" s="34"/>
      <c r="E845" s="35"/>
      <c r="F845" s="34"/>
      <c r="G845" s="36" t="str">
        <f t="shared" si="13"/>
        <v/>
      </c>
    </row>
    <row r="846" spans="1:7" x14ac:dyDescent="0.25">
      <c r="A846" s="33"/>
      <c r="B846" s="34"/>
      <c r="C846" s="34"/>
      <c r="D846" s="34"/>
      <c r="E846" s="35"/>
      <c r="F846" s="34"/>
      <c r="G846" s="36" t="str">
        <f t="shared" si="13"/>
        <v/>
      </c>
    </row>
    <row r="847" spans="1:7" x14ac:dyDescent="0.25">
      <c r="A847" s="33"/>
      <c r="B847" s="34"/>
      <c r="C847" s="34"/>
      <c r="D847" s="34"/>
      <c r="E847" s="35"/>
      <c r="F847" s="34"/>
      <c r="G847" s="36" t="str">
        <f t="shared" si="13"/>
        <v/>
      </c>
    </row>
    <row r="848" spans="1:7" x14ac:dyDescent="0.25">
      <c r="A848" s="33"/>
      <c r="B848" s="34"/>
      <c r="C848" s="34"/>
      <c r="D848" s="34"/>
      <c r="E848" s="35"/>
      <c r="F848" s="34"/>
      <c r="G848" s="36" t="str">
        <f t="shared" si="13"/>
        <v/>
      </c>
    </row>
    <row r="849" spans="1:7" x14ac:dyDescent="0.25">
      <c r="A849" s="33"/>
      <c r="B849" s="34"/>
      <c r="C849" s="34"/>
      <c r="D849" s="34"/>
      <c r="E849" s="35"/>
      <c r="F849" s="34"/>
      <c r="G849" s="36" t="str">
        <f t="shared" si="13"/>
        <v/>
      </c>
    </row>
    <row r="850" spans="1:7" x14ac:dyDescent="0.25">
      <c r="A850" s="33"/>
      <c r="B850" s="34"/>
      <c r="C850" s="34"/>
      <c r="D850" s="34"/>
      <c r="E850" s="35"/>
      <c r="F850" s="34"/>
      <c r="G850" s="36" t="str">
        <f t="shared" si="13"/>
        <v/>
      </c>
    </row>
    <row r="851" spans="1:7" x14ac:dyDescent="0.25">
      <c r="A851" s="33"/>
      <c r="B851" s="34"/>
      <c r="C851" s="34"/>
      <c r="D851" s="34"/>
      <c r="E851" s="35"/>
      <c r="F851" s="34"/>
      <c r="G851" s="36" t="str">
        <f t="shared" si="13"/>
        <v/>
      </c>
    </row>
    <row r="852" spans="1:7" x14ac:dyDescent="0.25">
      <c r="A852" s="33"/>
      <c r="B852" s="34"/>
      <c r="C852" s="34"/>
      <c r="D852" s="34"/>
      <c r="E852" s="35"/>
      <c r="F852" s="34"/>
      <c r="G852" s="36" t="str">
        <f t="shared" si="13"/>
        <v/>
      </c>
    </row>
    <row r="853" spans="1:7" x14ac:dyDescent="0.25">
      <c r="A853" s="33"/>
      <c r="B853" s="34"/>
      <c r="C853" s="34"/>
      <c r="D853" s="34"/>
      <c r="E853" s="35"/>
      <c r="F853" s="34"/>
      <c r="G853" s="36" t="str">
        <f t="shared" si="13"/>
        <v/>
      </c>
    </row>
    <row r="854" spans="1:7" x14ac:dyDescent="0.25">
      <c r="A854" s="33"/>
      <c r="B854" s="34"/>
      <c r="C854" s="34"/>
      <c r="D854" s="34"/>
      <c r="E854" s="35"/>
      <c r="F854" s="34"/>
      <c r="G854" s="36" t="str">
        <f t="shared" si="13"/>
        <v/>
      </c>
    </row>
    <row r="855" spans="1:7" x14ac:dyDescent="0.25">
      <c r="A855" s="33"/>
      <c r="B855" s="34"/>
      <c r="C855" s="34"/>
      <c r="D855" s="34"/>
      <c r="E855" s="35"/>
      <c r="F855" s="34"/>
      <c r="G855" s="36" t="str">
        <f t="shared" si="13"/>
        <v/>
      </c>
    </row>
    <row r="856" spans="1:7" x14ac:dyDescent="0.25">
      <c r="A856" s="33"/>
      <c r="B856" s="34"/>
      <c r="C856" s="34"/>
      <c r="D856" s="34"/>
      <c r="E856" s="35"/>
      <c r="F856" s="34"/>
      <c r="G856" s="36" t="str">
        <f t="shared" si="13"/>
        <v/>
      </c>
    </row>
    <row r="857" spans="1:7" x14ac:dyDescent="0.25">
      <c r="A857" s="33"/>
      <c r="B857" s="34"/>
      <c r="C857" s="34"/>
      <c r="D857" s="34"/>
      <c r="E857" s="35"/>
      <c r="F857" s="34"/>
      <c r="G857" s="36" t="str">
        <f t="shared" si="13"/>
        <v/>
      </c>
    </row>
    <row r="858" spans="1:7" x14ac:dyDescent="0.25">
      <c r="A858" s="33"/>
      <c r="B858" s="34"/>
      <c r="C858" s="34"/>
      <c r="D858" s="34"/>
      <c r="E858" s="35"/>
      <c r="F858" s="34"/>
      <c r="G858" s="36" t="str">
        <f t="shared" si="13"/>
        <v/>
      </c>
    </row>
    <row r="859" spans="1:7" x14ac:dyDescent="0.25">
      <c r="A859" s="33"/>
      <c r="B859" s="34"/>
      <c r="C859" s="34"/>
      <c r="D859" s="34"/>
      <c r="E859" s="35"/>
      <c r="F859" s="34"/>
      <c r="G859" s="36" t="str">
        <f t="shared" si="13"/>
        <v/>
      </c>
    </row>
    <row r="860" spans="1:7" x14ac:dyDescent="0.25">
      <c r="A860" s="33"/>
      <c r="B860" s="34"/>
      <c r="C860" s="34"/>
      <c r="D860" s="34"/>
      <c r="E860" s="35"/>
      <c r="F860" s="34"/>
      <c r="G860" s="36" t="str">
        <f t="shared" si="13"/>
        <v/>
      </c>
    </row>
    <row r="861" spans="1:7" x14ac:dyDescent="0.25">
      <c r="A861" s="33"/>
      <c r="B861" s="34"/>
      <c r="C861" s="34"/>
      <c r="D861" s="34"/>
      <c r="E861" s="35"/>
      <c r="F861" s="34"/>
      <c r="G861" s="36" t="str">
        <f t="shared" si="13"/>
        <v/>
      </c>
    </row>
    <row r="862" spans="1:7" x14ac:dyDescent="0.25">
      <c r="A862" s="33"/>
      <c r="B862" s="34"/>
      <c r="C862" s="34"/>
      <c r="D862" s="34"/>
      <c r="E862" s="35"/>
      <c r="F862" s="34"/>
      <c r="G862" s="36" t="str">
        <f t="shared" si="13"/>
        <v/>
      </c>
    </row>
    <row r="863" spans="1:7" x14ac:dyDescent="0.25">
      <c r="A863" s="33"/>
      <c r="B863" s="34"/>
      <c r="C863" s="34"/>
      <c r="D863" s="34"/>
      <c r="E863" s="35"/>
      <c r="F863" s="34"/>
      <c r="G863" s="36" t="str">
        <f t="shared" si="13"/>
        <v/>
      </c>
    </row>
    <row r="864" spans="1:7" x14ac:dyDescent="0.25">
      <c r="A864" s="33"/>
      <c r="B864" s="34"/>
      <c r="C864" s="34"/>
      <c r="D864" s="34"/>
      <c r="E864" s="35"/>
      <c r="F864" s="34"/>
      <c r="G864" s="36" t="str">
        <f t="shared" si="13"/>
        <v/>
      </c>
    </row>
    <row r="865" spans="1:7" x14ac:dyDescent="0.25">
      <c r="A865" s="33"/>
      <c r="B865" s="34"/>
      <c r="C865" s="34"/>
      <c r="D865" s="34"/>
      <c r="E865" s="35"/>
      <c r="F865" s="34"/>
      <c r="G865" s="36" t="str">
        <f t="shared" si="13"/>
        <v/>
      </c>
    </row>
    <row r="866" spans="1:7" x14ac:dyDescent="0.25">
      <c r="A866" s="33"/>
      <c r="B866" s="34"/>
      <c r="C866" s="34"/>
      <c r="D866" s="34"/>
      <c r="E866" s="35"/>
      <c r="F866" s="34"/>
      <c r="G866" s="36" t="str">
        <f t="shared" si="13"/>
        <v/>
      </c>
    </row>
    <row r="867" spans="1:7" x14ac:dyDescent="0.25">
      <c r="A867" s="33"/>
      <c r="B867" s="34"/>
      <c r="C867" s="34"/>
      <c r="D867" s="34"/>
      <c r="E867" s="35"/>
      <c r="F867" s="34"/>
      <c r="G867" s="36" t="str">
        <f t="shared" si="13"/>
        <v/>
      </c>
    </row>
    <row r="868" spans="1:7" x14ac:dyDescent="0.25">
      <c r="A868" s="33"/>
      <c r="B868" s="34"/>
      <c r="C868" s="34"/>
      <c r="D868" s="34"/>
      <c r="E868" s="35"/>
      <c r="F868" s="34"/>
      <c r="G868" s="36" t="str">
        <f t="shared" si="13"/>
        <v/>
      </c>
    </row>
    <row r="869" spans="1:7" x14ac:dyDescent="0.25">
      <c r="A869" s="33"/>
      <c r="B869" s="34"/>
      <c r="C869" s="34"/>
      <c r="D869" s="34"/>
      <c r="E869" s="35"/>
      <c r="F869" s="34"/>
      <c r="G869" s="36" t="str">
        <f t="shared" si="13"/>
        <v/>
      </c>
    </row>
    <row r="870" spans="1:7" x14ac:dyDescent="0.25">
      <c r="A870" s="33"/>
      <c r="B870" s="34"/>
      <c r="C870" s="34"/>
      <c r="D870" s="34"/>
      <c r="E870" s="35"/>
      <c r="F870" s="34"/>
      <c r="G870" s="36" t="str">
        <f t="shared" si="13"/>
        <v/>
      </c>
    </row>
    <row r="871" spans="1:7" x14ac:dyDescent="0.25">
      <c r="A871" s="33"/>
      <c r="B871" s="34"/>
      <c r="C871" s="34"/>
      <c r="D871" s="34"/>
      <c r="E871" s="35"/>
      <c r="F871" s="34"/>
      <c r="G871" s="36" t="str">
        <f t="shared" si="13"/>
        <v/>
      </c>
    </row>
    <row r="872" spans="1:7" x14ac:dyDescent="0.25">
      <c r="A872" s="33"/>
      <c r="B872" s="34"/>
      <c r="C872" s="34"/>
      <c r="D872" s="34"/>
      <c r="E872" s="35"/>
      <c r="F872" s="34"/>
      <c r="G872" s="36" t="str">
        <f t="shared" si="13"/>
        <v/>
      </c>
    </row>
    <row r="873" spans="1:7" x14ac:dyDescent="0.25">
      <c r="A873" s="33"/>
      <c r="B873" s="34"/>
      <c r="C873" s="34"/>
      <c r="D873" s="34"/>
      <c r="E873" s="35"/>
      <c r="F873" s="34"/>
      <c r="G873" s="36" t="str">
        <f t="shared" si="13"/>
        <v/>
      </c>
    </row>
    <row r="874" spans="1:7" x14ac:dyDescent="0.25">
      <c r="A874" s="33"/>
      <c r="B874" s="34"/>
      <c r="C874" s="34"/>
      <c r="D874" s="34"/>
      <c r="E874" s="35"/>
      <c r="F874" s="34"/>
      <c r="G874" s="36" t="str">
        <f t="shared" si="13"/>
        <v/>
      </c>
    </row>
    <row r="875" spans="1:7" x14ac:dyDescent="0.25">
      <c r="A875" s="33"/>
      <c r="B875" s="34"/>
      <c r="C875" s="34"/>
      <c r="D875" s="34"/>
      <c r="E875" s="35"/>
      <c r="F875" s="34"/>
      <c r="G875" s="36" t="str">
        <f t="shared" si="13"/>
        <v/>
      </c>
    </row>
    <row r="876" spans="1:7" x14ac:dyDescent="0.25">
      <c r="A876" s="33"/>
      <c r="B876" s="34"/>
      <c r="C876" s="34"/>
      <c r="D876" s="34"/>
      <c r="E876" s="35"/>
      <c r="F876" s="34"/>
      <c r="G876" s="36" t="str">
        <f t="shared" si="13"/>
        <v/>
      </c>
    </row>
    <row r="877" spans="1:7" x14ac:dyDescent="0.25">
      <c r="A877" s="33"/>
      <c r="B877" s="34"/>
      <c r="C877" s="34"/>
      <c r="D877" s="34"/>
      <c r="E877" s="35"/>
      <c r="F877" s="34"/>
      <c r="G877" s="36" t="str">
        <f t="shared" si="13"/>
        <v/>
      </c>
    </row>
    <row r="878" spans="1:7" x14ac:dyDescent="0.25">
      <c r="A878" s="33"/>
      <c r="B878" s="34"/>
      <c r="C878" s="34"/>
      <c r="D878" s="34"/>
      <c r="E878" s="35"/>
      <c r="F878" s="34"/>
      <c r="G878" s="36" t="str">
        <f t="shared" si="13"/>
        <v/>
      </c>
    </row>
    <row r="879" spans="1:7" x14ac:dyDescent="0.25">
      <c r="A879" s="33"/>
      <c r="B879" s="34"/>
      <c r="C879" s="34"/>
      <c r="D879" s="34"/>
      <c r="E879" s="35"/>
      <c r="F879" s="34"/>
      <c r="G879" s="36" t="str">
        <f t="shared" si="13"/>
        <v/>
      </c>
    </row>
    <row r="880" spans="1:7" x14ac:dyDescent="0.25">
      <c r="A880" s="33"/>
      <c r="B880" s="34"/>
      <c r="C880" s="34"/>
      <c r="D880" s="34"/>
      <c r="E880" s="35"/>
      <c r="F880" s="34"/>
      <c r="G880" s="36" t="str">
        <f t="shared" si="13"/>
        <v/>
      </c>
    </row>
    <row r="881" spans="1:7" x14ac:dyDescent="0.25">
      <c r="A881" s="33"/>
      <c r="B881" s="34"/>
      <c r="C881" s="34"/>
      <c r="D881" s="34"/>
      <c r="E881" s="35"/>
      <c r="F881" s="34"/>
      <c r="G881" s="36" t="str">
        <f t="shared" si="13"/>
        <v/>
      </c>
    </row>
    <row r="882" spans="1:7" x14ac:dyDescent="0.25">
      <c r="A882" s="33"/>
      <c r="B882" s="34"/>
      <c r="C882" s="34"/>
      <c r="D882" s="34"/>
      <c r="E882" s="35"/>
      <c r="F882" s="34"/>
      <c r="G882" s="36" t="str">
        <f t="shared" si="13"/>
        <v/>
      </c>
    </row>
    <row r="883" spans="1:7" x14ac:dyDescent="0.25">
      <c r="A883" s="33"/>
      <c r="B883" s="34"/>
      <c r="C883" s="34"/>
      <c r="D883" s="34"/>
      <c r="E883" s="35"/>
      <c r="F883" s="34"/>
      <c r="G883" s="36" t="str">
        <f t="shared" si="13"/>
        <v/>
      </c>
    </row>
    <row r="884" spans="1:7" x14ac:dyDescent="0.25">
      <c r="A884" s="33"/>
      <c r="B884" s="34"/>
      <c r="C884" s="34"/>
      <c r="D884" s="34"/>
      <c r="E884" s="35"/>
      <c r="F884" s="34"/>
      <c r="G884" s="36" t="str">
        <f t="shared" si="13"/>
        <v/>
      </c>
    </row>
    <row r="885" spans="1:7" x14ac:dyDescent="0.25">
      <c r="A885" s="33"/>
      <c r="B885" s="34"/>
      <c r="C885" s="34"/>
      <c r="D885" s="34"/>
      <c r="E885" s="35"/>
      <c r="F885" s="34"/>
      <c r="G885" s="36" t="str">
        <f t="shared" si="13"/>
        <v/>
      </c>
    </row>
    <row r="886" spans="1:7" x14ac:dyDescent="0.25">
      <c r="A886" s="33"/>
      <c r="B886" s="34"/>
      <c r="C886" s="34"/>
      <c r="D886" s="34"/>
      <c r="E886" s="35"/>
      <c r="F886" s="34"/>
      <c r="G886" s="36" t="str">
        <f t="shared" si="13"/>
        <v/>
      </c>
    </row>
    <row r="887" spans="1:7" x14ac:dyDescent="0.25">
      <c r="A887" s="33"/>
      <c r="B887" s="34"/>
      <c r="C887" s="34"/>
      <c r="D887" s="34"/>
      <c r="E887" s="35"/>
      <c r="F887" s="34"/>
      <c r="G887" s="36" t="str">
        <f t="shared" si="13"/>
        <v/>
      </c>
    </row>
    <row r="888" spans="1:7" x14ac:dyDescent="0.25">
      <c r="A888" s="33"/>
      <c r="B888" s="34"/>
      <c r="C888" s="34"/>
      <c r="D888" s="34"/>
      <c r="E888" s="35"/>
      <c r="F888" s="34"/>
      <c r="G888" s="36" t="str">
        <f t="shared" si="13"/>
        <v/>
      </c>
    </row>
    <row r="889" spans="1:7" x14ac:dyDescent="0.25">
      <c r="A889" s="33"/>
      <c r="B889" s="34"/>
      <c r="C889" s="34"/>
      <c r="D889" s="34"/>
      <c r="E889" s="35"/>
      <c r="F889" s="34"/>
      <c r="G889" s="36" t="str">
        <f t="shared" si="13"/>
        <v/>
      </c>
    </row>
    <row r="890" spans="1:7" x14ac:dyDescent="0.25">
      <c r="A890" s="33"/>
      <c r="B890" s="34"/>
      <c r="C890" s="34"/>
      <c r="D890" s="34"/>
      <c r="E890" s="35"/>
      <c r="F890" s="34"/>
      <c r="G890" s="36" t="str">
        <f t="shared" si="13"/>
        <v/>
      </c>
    </row>
    <row r="891" spans="1:7" x14ac:dyDescent="0.25">
      <c r="A891" s="33"/>
      <c r="B891" s="34"/>
      <c r="C891" s="34"/>
      <c r="D891" s="34"/>
      <c r="E891" s="35"/>
      <c r="F891" s="34"/>
      <c r="G891" s="36" t="str">
        <f t="shared" si="13"/>
        <v/>
      </c>
    </row>
    <row r="892" spans="1:7" x14ac:dyDescent="0.25">
      <c r="A892" s="33"/>
      <c r="B892" s="34"/>
      <c r="C892" s="34"/>
      <c r="D892" s="34"/>
      <c r="E892" s="35"/>
      <c r="F892" s="34"/>
      <c r="G892" s="36" t="str">
        <f t="shared" si="13"/>
        <v/>
      </c>
    </row>
    <row r="893" spans="1:7" x14ac:dyDescent="0.25">
      <c r="A893" s="33"/>
      <c r="B893" s="34"/>
      <c r="C893" s="34"/>
      <c r="D893" s="34"/>
      <c r="E893" s="35"/>
      <c r="F893" s="34"/>
      <c r="G893" s="36" t="str">
        <f t="shared" si="13"/>
        <v/>
      </c>
    </row>
    <row r="894" spans="1:7" x14ac:dyDescent="0.25">
      <c r="A894" s="33"/>
      <c r="B894" s="34"/>
      <c r="C894" s="34"/>
      <c r="D894" s="34"/>
      <c r="E894" s="35"/>
      <c r="F894" s="34"/>
      <c r="G894" s="36" t="str">
        <f t="shared" si="13"/>
        <v/>
      </c>
    </row>
    <row r="895" spans="1:7" x14ac:dyDescent="0.25">
      <c r="A895" s="33"/>
      <c r="B895" s="34"/>
      <c r="C895" s="34"/>
      <c r="D895" s="34"/>
      <c r="E895" s="35"/>
      <c r="F895" s="34"/>
      <c r="G895" s="36" t="str">
        <f t="shared" si="13"/>
        <v/>
      </c>
    </row>
    <row r="896" spans="1:7" x14ac:dyDescent="0.25">
      <c r="A896" s="33"/>
      <c r="B896" s="34"/>
      <c r="C896" s="34"/>
      <c r="D896" s="34"/>
      <c r="E896" s="35"/>
      <c r="F896" s="34"/>
      <c r="G896" s="36" t="str">
        <f t="shared" si="13"/>
        <v/>
      </c>
    </row>
    <row r="897" spans="1:7" x14ac:dyDescent="0.25">
      <c r="A897" s="33"/>
      <c r="B897" s="34"/>
      <c r="C897" s="34"/>
      <c r="D897" s="34"/>
      <c r="E897" s="35"/>
      <c r="F897" s="34"/>
      <c r="G897" s="36" t="str">
        <f t="shared" si="13"/>
        <v/>
      </c>
    </row>
    <row r="898" spans="1:7" x14ac:dyDescent="0.25">
      <c r="A898" s="33"/>
      <c r="B898" s="34"/>
      <c r="C898" s="34"/>
      <c r="D898" s="34"/>
      <c r="E898" s="35"/>
      <c r="F898" s="34"/>
      <c r="G898" s="36" t="str">
        <f t="shared" si="13"/>
        <v/>
      </c>
    </row>
    <row r="899" spans="1:7" x14ac:dyDescent="0.25">
      <c r="A899" s="33"/>
      <c r="B899" s="34"/>
      <c r="C899" s="34"/>
      <c r="D899" s="34"/>
      <c r="E899" s="35"/>
      <c r="F899" s="34"/>
      <c r="G899" s="36" t="str">
        <f t="shared" si="13"/>
        <v/>
      </c>
    </row>
    <row r="900" spans="1:7" x14ac:dyDescent="0.25">
      <c r="A900" s="33"/>
      <c r="B900" s="34"/>
      <c r="C900" s="34"/>
      <c r="D900" s="34"/>
      <c r="E900" s="35"/>
      <c r="F900" s="34"/>
      <c r="G900" s="36" t="str">
        <f t="shared" si="13"/>
        <v/>
      </c>
    </row>
    <row r="901" spans="1:7" x14ac:dyDescent="0.25">
      <c r="A901" s="33"/>
      <c r="B901" s="34"/>
      <c r="C901" s="34"/>
      <c r="D901" s="34"/>
      <c r="E901" s="35"/>
      <c r="F901" s="34"/>
      <c r="G901" s="36" t="str">
        <f t="shared" si="13"/>
        <v/>
      </c>
    </row>
    <row r="902" spans="1:7" x14ac:dyDescent="0.25">
      <c r="A902" s="33"/>
      <c r="B902" s="34"/>
      <c r="C902" s="34"/>
      <c r="D902" s="34"/>
      <c r="E902" s="35"/>
      <c r="F902" s="34"/>
      <c r="G902" s="36" t="str">
        <f t="shared" ref="G902:G965" si="14">IF(A902="","",DATE(YEAR(A902),MONTH(A902),1))</f>
        <v/>
      </c>
    </row>
    <row r="903" spans="1:7" x14ac:dyDescent="0.25">
      <c r="A903" s="33"/>
      <c r="B903" s="34"/>
      <c r="C903" s="34"/>
      <c r="D903" s="34"/>
      <c r="E903" s="35"/>
      <c r="F903" s="34"/>
      <c r="G903" s="36" t="str">
        <f t="shared" si="14"/>
        <v/>
      </c>
    </row>
    <row r="904" spans="1:7" x14ac:dyDescent="0.25">
      <c r="A904" s="33"/>
      <c r="B904" s="34"/>
      <c r="C904" s="34"/>
      <c r="D904" s="34"/>
      <c r="E904" s="35"/>
      <c r="F904" s="34"/>
      <c r="G904" s="36" t="str">
        <f t="shared" si="14"/>
        <v/>
      </c>
    </row>
    <row r="905" spans="1:7" x14ac:dyDescent="0.25">
      <c r="A905" s="33"/>
      <c r="B905" s="34"/>
      <c r="C905" s="34"/>
      <c r="D905" s="34"/>
      <c r="E905" s="35"/>
      <c r="F905" s="34"/>
      <c r="G905" s="36" t="str">
        <f t="shared" si="14"/>
        <v/>
      </c>
    </row>
    <row r="906" spans="1:7" x14ac:dyDescent="0.25">
      <c r="A906" s="33"/>
      <c r="B906" s="34"/>
      <c r="C906" s="34"/>
      <c r="D906" s="34"/>
      <c r="E906" s="35"/>
      <c r="F906" s="34"/>
      <c r="G906" s="36" t="str">
        <f t="shared" si="14"/>
        <v/>
      </c>
    </row>
    <row r="907" spans="1:7" x14ac:dyDescent="0.25">
      <c r="A907" s="33"/>
      <c r="B907" s="34"/>
      <c r="C907" s="34"/>
      <c r="D907" s="34"/>
      <c r="E907" s="35"/>
      <c r="F907" s="34"/>
      <c r="G907" s="36" t="str">
        <f t="shared" si="14"/>
        <v/>
      </c>
    </row>
    <row r="908" spans="1:7" x14ac:dyDescent="0.25">
      <c r="A908" s="33"/>
      <c r="B908" s="34"/>
      <c r="C908" s="34"/>
      <c r="D908" s="34"/>
      <c r="E908" s="35"/>
      <c r="F908" s="34"/>
      <c r="G908" s="36" t="str">
        <f t="shared" si="14"/>
        <v/>
      </c>
    </row>
    <row r="909" spans="1:7" x14ac:dyDescent="0.25">
      <c r="A909" s="33"/>
      <c r="B909" s="34"/>
      <c r="C909" s="34"/>
      <c r="D909" s="34"/>
      <c r="E909" s="35"/>
      <c r="F909" s="34"/>
      <c r="G909" s="36" t="str">
        <f t="shared" si="14"/>
        <v/>
      </c>
    </row>
    <row r="910" spans="1:7" x14ac:dyDescent="0.25">
      <c r="A910" s="33"/>
      <c r="B910" s="34"/>
      <c r="C910" s="34"/>
      <c r="D910" s="34"/>
      <c r="E910" s="35"/>
      <c r="F910" s="34"/>
      <c r="G910" s="36" t="str">
        <f t="shared" si="14"/>
        <v/>
      </c>
    </row>
    <row r="911" spans="1:7" x14ac:dyDescent="0.25">
      <c r="A911" s="33"/>
      <c r="B911" s="34"/>
      <c r="C911" s="34"/>
      <c r="D911" s="34"/>
      <c r="E911" s="35"/>
      <c r="F911" s="34"/>
      <c r="G911" s="36" t="str">
        <f t="shared" si="14"/>
        <v/>
      </c>
    </row>
    <row r="912" spans="1:7" x14ac:dyDescent="0.25">
      <c r="A912" s="33"/>
      <c r="B912" s="34"/>
      <c r="C912" s="34"/>
      <c r="D912" s="34"/>
      <c r="E912" s="35"/>
      <c r="F912" s="34"/>
      <c r="G912" s="36" t="str">
        <f t="shared" si="14"/>
        <v/>
      </c>
    </row>
    <row r="913" spans="1:7" x14ac:dyDescent="0.25">
      <c r="A913" s="33"/>
      <c r="B913" s="34"/>
      <c r="C913" s="34"/>
      <c r="D913" s="34"/>
      <c r="E913" s="35"/>
      <c r="F913" s="34"/>
      <c r="G913" s="36" t="str">
        <f t="shared" si="14"/>
        <v/>
      </c>
    </row>
    <row r="914" spans="1:7" x14ac:dyDescent="0.25">
      <c r="A914" s="33"/>
      <c r="B914" s="34"/>
      <c r="C914" s="34"/>
      <c r="D914" s="34"/>
      <c r="E914" s="35"/>
      <c r="F914" s="34"/>
      <c r="G914" s="36" t="str">
        <f t="shared" si="14"/>
        <v/>
      </c>
    </row>
    <row r="915" spans="1:7" x14ac:dyDescent="0.25">
      <c r="A915" s="33"/>
      <c r="B915" s="34"/>
      <c r="C915" s="34"/>
      <c r="D915" s="34"/>
      <c r="E915" s="35"/>
      <c r="F915" s="34"/>
      <c r="G915" s="36" t="str">
        <f t="shared" si="14"/>
        <v/>
      </c>
    </row>
    <row r="916" spans="1:7" x14ac:dyDescent="0.25">
      <c r="A916" s="33"/>
      <c r="B916" s="34"/>
      <c r="C916" s="34"/>
      <c r="D916" s="34"/>
      <c r="E916" s="35"/>
      <c r="F916" s="34"/>
      <c r="G916" s="36" t="str">
        <f t="shared" si="14"/>
        <v/>
      </c>
    </row>
    <row r="917" spans="1:7" x14ac:dyDescent="0.25">
      <c r="A917" s="33"/>
      <c r="B917" s="34"/>
      <c r="C917" s="34"/>
      <c r="D917" s="34"/>
      <c r="E917" s="35"/>
      <c r="F917" s="34"/>
      <c r="G917" s="36" t="str">
        <f t="shared" si="14"/>
        <v/>
      </c>
    </row>
    <row r="918" spans="1:7" x14ac:dyDescent="0.25">
      <c r="A918" s="33"/>
      <c r="B918" s="34"/>
      <c r="C918" s="34"/>
      <c r="D918" s="34"/>
      <c r="E918" s="35"/>
      <c r="F918" s="34"/>
      <c r="G918" s="36" t="str">
        <f t="shared" si="14"/>
        <v/>
      </c>
    </row>
    <row r="919" spans="1:7" x14ac:dyDescent="0.25">
      <c r="A919" s="33"/>
      <c r="B919" s="34"/>
      <c r="C919" s="34"/>
      <c r="D919" s="34"/>
      <c r="E919" s="35"/>
      <c r="F919" s="34"/>
      <c r="G919" s="36" t="str">
        <f t="shared" si="14"/>
        <v/>
      </c>
    </row>
    <row r="920" spans="1:7" x14ac:dyDescent="0.25">
      <c r="A920" s="33"/>
      <c r="B920" s="34"/>
      <c r="C920" s="34"/>
      <c r="D920" s="34"/>
      <c r="E920" s="35"/>
      <c r="F920" s="34"/>
      <c r="G920" s="36" t="str">
        <f t="shared" si="14"/>
        <v/>
      </c>
    </row>
    <row r="921" spans="1:7" x14ac:dyDescent="0.25">
      <c r="A921" s="33"/>
      <c r="B921" s="34"/>
      <c r="C921" s="34"/>
      <c r="D921" s="34"/>
      <c r="E921" s="35"/>
      <c r="F921" s="34"/>
      <c r="G921" s="36" t="str">
        <f t="shared" si="14"/>
        <v/>
      </c>
    </row>
    <row r="922" spans="1:7" x14ac:dyDescent="0.25">
      <c r="A922" s="33"/>
      <c r="B922" s="34"/>
      <c r="C922" s="34"/>
      <c r="D922" s="34"/>
      <c r="E922" s="35"/>
      <c r="F922" s="34"/>
      <c r="G922" s="36" t="str">
        <f t="shared" si="14"/>
        <v/>
      </c>
    </row>
    <row r="923" spans="1:7" x14ac:dyDescent="0.25">
      <c r="A923" s="33"/>
      <c r="B923" s="34"/>
      <c r="C923" s="34"/>
      <c r="D923" s="34"/>
      <c r="E923" s="35"/>
      <c r="F923" s="34"/>
      <c r="G923" s="36" t="str">
        <f t="shared" si="14"/>
        <v/>
      </c>
    </row>
    <row r="924" spans="1:7" x14ac:dyDescent="0.25">
      <c r="A924" s="33"/>
      <c r="B924" s="34"/>
      <c r="C924" s="34"/>
      <c r="D924" s="34"/>
      <c r="E924" s="35"/>
      <c r="F924" s="34"/>
      <c r="G924" s="36" t="str">
        <f t="shared" si="14"/>
        <v/>
      </c>
    </row>
    <row r="925" spans="1:7" x14ac:dyDescent="0.25">
      <c r="A925" s="33"/>
      <c r="B925" s="34"/>
      <c r="C925" s="34"/>
      <c r="D925" s="34"/>
      <c r="E925" s="35"/>
      <c r="F925" s="34"/>
      <c r="G925" s="36" t="str">
        <f t="shared" si="14"/>
        <v/>
      </c>
    </row>
    <row r="926" spans="1:7" x14ac:dyDescent="0.25">
      <c r="A926" s="33"/>
      <c r="B926" s="34"/>
      <c r="C926" s="34"/>
      <c r="D926" s="34"/>
      <c r="E926" s="35"/>
      <c r="F926" s="34"/>
      <c r="G926" s="36" t="str">
        <f t="shared" si="14"/>
        <v/>
      </c>
    </row>
    <row r="927" spans="1:7" x14ac:dyDescent="0.25">
      <c r="A927" s="33"/>
      <c r="B927" s="34"/>
      <c r="C927" s="34"/>
      <c r="D927" s="34"/>
      <c r="E927" s="35"/>
      <c r="F927" s="34"/>
      <c r="G927" s="36" t="str">
        <f t="shared" si="14"/>
        <v/>
      </c>
    </row>
    <row r="928" spans="1:7" x14ac:dyDescent="0.25">
      <c r="A928" s="33"/>
      <c r="B928" s="34"/>
      <c r="C928" s="34"/>
      <c r="D928" s="34"/>
      <c r="E928" s="35"/>
      <c r="F928" s="34"/>
      <c r="G928" s="36" t="str">
        <f t="shared" si="14"/>
        <v/>
      </c>
    </row>
    <row r="929" spans="1:7" x14ac:dyDescent="0.25">
      <c r="A929" s="33"/>
      <c r="B929" s="34"/>
      <c r="C929" s="34"/>
      <c r="D929" s="34"/>
      <c r="E929" s="35"/>
      <c r="F929" s="34"/>
      <c r="G929" s="36" t="str">
        <f t="shared" si="14"/>
        <v/>
      </c>
    </row>
    <row r="930" spans="1:7" x14ac:dyDescent="0.25">
      <c r="A930" s="33"/>
      <c r="B930" s="34"/>
      <c r="C930" s="34"/>
      <c r="D930" s="34"/>
      <c r="E930" s="35"/>
      <c r="F930" s="34"/>
      <c r="G930" s="36" t="str">
        <f t="shared" si="14"/>
        <v/>
      </c>
    </row>
    <row r="931" spans="1:7" x14ac:dyDescent="0.25">
      <c r="A931" s="33"/>
      <c r="B931" s="34"/>
      <c r="C931" s="34"/>
      <c r="D931" s="34"/>
      <c r="E931" s="35"/>
      <c r="F931" s="34"/>
      <c r="G931" s="36" t="str">
        <f t="shared" si="14"/>
        <v/>
      </c>
    </row>
    <row r="932" spans="1:7" x14ac:dyDescent="0.25">
      <c r="A932" s="33"/>
      <c r="B932" s="34"/>
      <c r="C932" s="34"/>
      <c r="D932" s="34"/>
      <c r="E932" s="35"/>
      <c r="F932" s="34"/>
      <c r="G932" s="36" t="str">
        <f t="shared" si="14"/>
        <v/>
      </c>
    </row>
    <row r="933" spans="1:7" x14ac:dyDescent="0.25">
      <c r="A933" s="33"/>
      <c r="B933" s="34"/>
      <c r="C933" s="34"/>
      <c r="D933" s="34"/>
      <c r="E933" s="35"/>
      <c r="F933" s="34"/>
      <c r="G933" s="36" t="str">
        <f t="shared" si="14"/>
        <v/>
      </c>
    </row>
    <row r="934" spans="1:7" x14ac:dyDescent="0.25">
      <c r="A934" s="33"/>
      <c r="B934" s="34"/>
      <c r="C934" s="34"/>
      <c r="D934" s="34"/>
      <c r="E934" s="35"/>
      <c r="F934" s="34"/>
      <c r="G934" s="36" t="str">
        <f t="shared" si="14"/>
        <v/>
      </c>
    </row>
    <row r="935" spans="1:7" x14ac:dyDescent="0.25">
      <c r="A935" s="33"/>
      <c r="B935" s="34"/>
      <c r="C935" s="34"/>
      <c r="D935" s="34"/>
      <c r="E935" s="35"/>
      <c r="F935" s="34"/>
      <c r="G935" s="36" t="str">
        <f t="shared" si="14"/>
        <v/>
      </c>
    </row>
    <row r="936" spans="1:7" x14ac:dyDescent="0.25">
      <c r="A936" s="33"/>
      <c r="B936" s="34"/>
      <c r="C936" s="34"/>
      <c r="D936" s="34"/>
      <c r="E936" s="35"/>
      <c r="F936" s="34"/>
      <c r="G936" s="36" t="str">
        <f t="shared" si="14"/>
        <v/>
      </c>
    </row>
    <row r="937" spans="1:7" x14ac:dyDescent="0.25">
      <c r="A937" s="33"/>
      <c r="B937" s="34"/>
      <c r="C937" s="34"/>
      <c r="D937" s="34"/>
      <c r="E937" s="35"/>
      <c r="F937" s="34"/>
      <c r="G937" s="36" t="str">
        <f t="shared" si="14"/>
        <v/>
      </c>
    </row>
    <row r="938" spans="1:7" x14ac:dyDescent="0.25">
      <c r="A938" s="33"/>
      <c r="B938" s="34"/>
      <c r="C938" s="34"/>
      <c r="D938" s="34"/>
      <c r="E938" s="35"/>
      <c r="F938" s="34"/>
      <c r="G938" s="36" t="str">
        <f t="shared" si="14"/>
        <v/>
      </c>
    </row>
    <row r="939" spans="1:7" x14ac:dyDescent="0.25">
      <c r="A939" s="33"/>
      <c r="B939" s="34"/>
      <c r="C939" s="34"/>
      <c r="D939" s="34"/>
      <c r="E939" s="35"/>
      <c r="F939" s="34"/>
      <c r="G939" s="36" t="str">
        <f t="shared" si="14"/>
        <v/>
      </c>
    </row>
    <row r="940" spans="1:7" x14ac:dyDescent="0.25">
      <c r="A940" s="33"/>
      <c r="B940" s="34"/>
      <c r="C940" s="34"/>
      <c r="D940" s="34"/>
      <c r="E940" s="35"/>
      <c r="F940" s="34"/>
      <c r="G940" s="36" t="str">
        <f t="shared" si="14"/>
        <v/>
      </c>
    </row>
    <row r="941" spans="1:7" x14ac:dyDescent="0.25">
      <c r="A941" s="33"/>
      <c r="B941" s="34"/>
      <c r="C941" s="34"/>
      <c r="D941" s="34"/>
      <c r="E941" s="35"/>
      <c r="F941" s="34"/>
      <c r="G941" s="36" t="str">
        <f t="shared" si="14"/>
        <v/>
      </c>
    </row>
    <row r="942" spans="1:7" x14ac:dyDescent="0.25">
      <c r="A942" s="33"/>
      <c r="B942" s="34"/>
      <c r="C942" s="34"/>
      <c r="D942" s="34"/>
      <c r="E942" s="35"/>
      <c r="F942" s="34"/>
      <c r="G942" s="36" t="str">
        <f t="shared" si="14"/>
        <v/>
      </c>
    </row>
    <row r="943" spans="1:7" x14ac:dyDescent="0.25">
      <c r="A943" s="33"/>
      <c r="B943" s="34"/>
      <c r="C943" s="34"/>
      <c r="D943" s="34"/>
      <c r="E943" s="35"/>
      <c r="F943" s="34"/>
      <c r="G943" s="36" t="str">
        <f t="shared" si="14"/>
        <v/>
      </c>
    </row>
    <row r="944" spans="1:7" x14ac:dyDescent="0.25">
      <c r="A944" s="33"/>
      <c r="B944" s="34"/>
      <c r="C944" s="34"/>
      <c r="D944" s="34"/>
      <c r="E944" s="35"/>
      <c r="F944" s="34"/>
      <c r="G944" s="36" t="str">
        <f t="shared" si="14"/>
        <v/>
      </c>
    </row>
    <row r="945" spans="1:7" x14ac:dyDescent="0.25">
      <c r="A945" s="33"/>
      <c r="B945" s="34"/>
      <c r="C945" s="34"/>
      <c r="D945" s="34"/>
      <c r="E945" s="35"/>
      <c r="F945" s="34"/>
      <c r="G945" s="36" t="str">
        <f t="shared" si="14"/>
        <v/>
      </c>
    </row>
    <row r="946" spans="1:7" x14ac:dyDescent="0.25">
      <c r="A946" s="33"/>
      <c r="B946" s="34"/>
      <c r="C946" s="34"/>
      <c r="D946" s="34"/>
      <c r="E946" s="35"/>
      <c r="F946" s="34"/>
      <c r="G946" s="36" t="str">
        <f t="shared" si="14"/>
        <v/>
      </c>
    </row>
    <row r="947" spans="1:7" x14ac:dyDescent="0.25">
      <c r="A947" s="33"/>
      <c r="B947" s="34"/>
      <c r="C947" s="34"/>
      <c r="D947" s="34"/>
      <c r="E947" s="35"/>
      <c r="F947" s="34"/>
      <c r="G947" s="36" t="str">
        <f t="shared" si="14"/>
        <v/>
      </c>
    </row>
    <row r="948" spans="1:7" x14ac:dyDescent="0.25">
      <c r="A948" s="33"/>
      <c r="B948" s="34"/>
      <c r="C948" s="34"/>
      <c r="D948" s="34"/>
      <c r="E948" s="35"/>
      <c r="F948" s="34"/>
      <c r="G948" s="36" t="str">
        <f t="shared" si="14"/>
        <v/>
      </c>
    </row>
    <row r="949" spans="1:7" x14ac:dyDescent="0.25">
      <c r="A949" s="33"/>
      <c r="B949" s="34"/>
      <c r="C949" s="34"/>
      <c r="D949" s="34"/>
      <c r="E949" s="35"/>
      <c r="F949" s="34"/>
      <c r="G949" s="36" t="str">
        <f t="shared" si="14"/>
        <v/>
      </c>
    </row>
    <row r="950" spans="1:7" x14ac:dyDescent="0.25">
      <c r="A950" s="33"/>
      <c r="B950" s="34"/>
      <c r="C950" s="34"/>
      <c r="D950" s="34"/>
      <c r="E950" s="35"/>
      <c r="F950" s="34"/>
      <c r="G950" s="36" t="str">
        <f t="shared" si="14"/>
        <v/>
      </c>
    </row>
    <row r="951" spans="1:7" x14ac:dyDescent="0.25">
      <c r="A951" s="33"/>
      <c r="B951" s="34"/>
      <c r="C951" s="34"/>
      <c r="D951" s="34"/>
      <c r="E951" s="35"/>
      <c r="F951" s="34"/>
      <c r="G951" s="36" t="str">
        <f t="shared" si="14"/>
        <v/>
      </c>
    </row>
    <row r="952" spans="1:7" x14ac:dyDescent="0.25">
      <c r="A952" s="33"/>
      <c r="B952" s="34"/>
      <c r="C952" s="34"/>
      <c r="D952" s="34"/>
      <c r="E952" s="35"/>
      <c r="F952" s="34"/>
      <c r="G952" s="36" t="str">
        <f t="shared" si="14"/>
        <v/>
      </c>
    </row>
    <row r="953" spans="1:7" x14ac:dyDescent="0.25">
      <c r="A953" s="33"/>
      <c r="B953" s="34"/>
      <c r="C953" s="34"/>
      <c r="D953" s="34"/>
      <c r="E953" s="35"/>
      <c r="F953" s="34"/>
      <c r="G953" s="36" t="str">
        <f t="shared" si="14"/>
        <v/>
      </c>
    </row>
    <row r="954" spans="1:7" x14ac:dyDescent="0.25">
      <c r="A954" s="33"/>
      <c r="B954" s="34"/>
      <c r="C954" s="34"/>
      <c r="D954" s="34"/>
      <c r="E954" s="35"/>
      <c r="F954" s="34"/>
      <c r="G954" s="36" t="str">
        <f t="shared" si="14"/>
        <v/>
      </c>
    </row>
    <row r="955" spans="1:7" x14ac:dyDescent="0.25">
      <c r="A955" s="33"/>
      <c r="B955" s="34"/>
      <c r="C955" s="34"/>
      <c r="D955" s="34"/>
      <c r="E955" s="35"/>
      <c r="F955" s="34"/>
      <c r="G955" s="36" t="str">
        <f t="shared" si="14"/>
        <v/>
      </c>
    </row>
    <row r="956" spans="1:7" x14ac:dyDescent="0.25">
      <c r="A956" s="33"/>
      <c r="B956" s="34"/>
      <c r="C956" s="34"/>
      <c r="D956" s="34"/>
      <c r="E956" s="35"/>
      <c r="F956" s="34"/>
      <c r="G956" s="36" t="str">
        <f t="shared" si="14"/>
        <v/>
      </c>
    </row>
    <row r="957" spans="1:7" x14ac:dyDescent="0.25">
      <c r="A957" s="33"/>
      <c r="B957" s="34"/>
      <c r="C957" s="34"/>
      <c r="D957" s="34"/>
      <c r="E957" s="35"/>
      <c r="F957" s="34"/>
      <c r="G957" s="36" t="str">
        <f t="shared" si="14"/>
        <v/>
      </c>
    </row>
    <row r="958" spans="1:7" x14ac:dyDescent="0.25">
      <c r="A958" s="33"/>
      <c r="B958" s="34"/>
      <c r="C958" s="34"/>
      <c r="D958" s="34"/>
      <c r="E958" s="35"/>
      <c r="F958" s="34"/>
      <c r="G958" s="36" t="str">
        <f t="shared" si="14"/>
        <v/>
      </c>
    </row>
    <row r="959" spans="1:7" x14ac:dyDescent="0.25">
      <c r="A959" s="33"/>
      <c r="B959" s="34"/>
      <c r="C959" s="34"/>
      <c r="D959" s="34"/>
      <c r="E959" s="35"/>
      <c r="F959" s="34"/>
      <c r="G959" s="36" t="str">
        <f t="shared" si="14"/>
        <v/>
      </c>
    </row>
    <row r="960" spans="1:7" x14ac:dyDescent="0.25">
      <c r="A960" s="33"/>
      <c r="B960" s="34"/>
      <c r="C960" s="34"/>
      <c r="D960" s="34"/>
      <c r="E960" s="35"/>
      <c r="F960" s="34"/>
      <c r="G960" s="36" t="str">
        <f t="shared" si="14"/>
        <v/>
      </c>
    </row>
    <row r="961" spans="1:7" x14ac:dyDescent="0.25">
      <c r="A961" s="33"/>
      <c r="B961" s="34"/>
      <c r="C961" s="34"/>
      <c r="D961" s="34"/>
      <c r="E961" s="35"/>
      <c r="F961" s="34"/>
      <c r="G961" s="36" t="str">
        <f t="shared" si="14"/>
        <v/>
      </c>
    </row>
    <row r="962" spans="1:7" x14ac:dyDescent="0.25">
      <c r="A962" s="33"/>
      <c r="B962" s="34"/>
      <c r="C962" s="34"/>
      <c r="D962" s="34"/>
      <c r="E962" s="35"/>
      <c r="F962" s="34"/>
      <c r="G962" s="36" t="str">
        <f t="shared" si="14"/>
        <v/>
      </c>
    </row>
    <row r="963" spans="1:7" x14ac:dyDescent="0.25">
      <c r="A963" s="33"/>
      <c r="B963" s="34"/>
      <c r="C963" s="34"/>
      <c r="D963" s="34"/>
      <c r="E963" s="35"/>
      <c r="F963" s="34"/>
      <c r="G963" s="36" t="str">
        <f t="shared" si="14"/>
        <v/>
      </c>
    </row>
    <row r="964" spans="1:7" x14ac:dyDescent="0.25">
      <c r="A964" s="33"/>
      <c r="B964" s="34"/>
      <c r="C964" s="34"/>
      <c r="D964" s="34"/>
      <c r="E964" s="35"/>
      <c r="F964" s="34"/>
      <c r="G964" s="36" t="str">
        <f t="shared" si="14"/>
        <v/>
      </c>
    </row>
    <row r="965" spans="1:7" x14ac:dyDescent="0.25">
      <c r="A965" s="33"/>
      <c r="B965" s="34"/>
      <c r="C965" s="34"/>
      <c r="D965" s="34"/>
      <c r="E965" s="35"/>
      <c r="F965" s="34"/>
      <c r="G965" s="36" t="str">
        <f t="shared" si="14"/>
        <v/>
      </c>
    </row>
    <row r="966" spans="1:7" x14ac:dyDescent="0.25">
      <c r="A966" s="33"/>
      <c r="B966" s="34"/>
      <c r="C966" s="34"/>
      <c r="D966" s="34"/>
      <c r="E966" s="35"/>
      <c r="F966" s="34"/>
      <c r="G966" s="36" t="str">
        <f t="shared" ref="G966:G1005" si="15">IF(A966="","",DATE(YEAR(A966),MONTH(A966),1))</f>
        <v/>
      </c>
    </row>
    <row r="967" spans="1:7" x14ac:dyDescent="0.25">
      <c r="A967" s="33"/>
      <c r="B967" s="34"/>
      <c r="C967" s="34"/>
      <c r="D967" s="34"/>
      <c r="E967" s="35"/>
      <c r="F967" s="34"/>
      <c r="G967" s="36" t="str">
        <f t="shared" si="15"/>
        <v/>
      </c>
    </row>
    <row r="968" spans="1:7" x14ac:dyDescent="0.25">
      <c r="A968" s="33"/>
      <c r="B968" s="34"/>
      <c r="C968" s="34"/>
      <c r="D968" s="34"/>
      <c r="E968" s="35"/>
      <c r="F968" s="34"/>
      <c r="G968" s="36" t="str">
        <f t="shared" si="15"/>
        <v/>
      </c>
    </row>
    <row r="969" spans="1:7" x14ac:dyDescent="0.25">
      <c r="A969" s="33"/>
      <c r="B969" s="34"/>
      <c r="C969" s="34"/>
      <c r="D969" s="34"/>
      <c r="E969" s="35"/>
      <c r="F969" s="34"/>
      <c r="G969" s="36" t="str">
        <f t="shared" si="15"/>
        <v/>
      </c>
    </row>
    <row r="970" spans="1:7" x14ac:dyDescent="0.25">
      <c r="A970" s="33"/>
      <c r="B970" s="34"/>
      <c r="C970" s="34"/>
      <c r="D970" s="34"/>
      <c r="E970" s="35"/>
      <c r="F970" s="34"/>
      <c r="G970" s="36" t="str">
        <f t="shared" si="15"/>
        <v/>
      </c>
    </row>
    <row r="971" spans="1:7" x14ac:dyDescent="0.25">
      <c r="A971" s="33"/>
      <c r="B971" s="34"/>
      <c r="C971" s="34"/>
      <c r="D971" s="34"/>
      <c r="E971" s="35"/>
      <c r="F971" s="34"/>
      <c r="G971" s="36" t="str">
        <f t="shared" si="15"/>
        <v/>
      </c>
    </row>
    <row r="972" spans="1:7" x14ac:dyDescent="0.25">
      <c r="A972" s="33"/>
      <c r="B972" s="34"/>
      <c r="C972" s="34"/>
      <c r="D972" s="34"/>
      <c r="E972" s="35"/>
      <c r="F972" s="34"/>
      <c r="G972" s="36" t="str">
        <f t="shared" si="15"/>
        <v/>
      </c>
    </row>
    <row r="973" spans="1:7" x14ac:dyDescent="0.25">
      <c r="A973" s="33"/>
      <c r="B973" s="34"/>
      <c r="C973" s="34"/>
      <c r="D973" s="34"/>
      <c r="E973" s="35"/>
      <c r="F973" s="34"/>
      <c r="G973" s="36" t="str">
        <f t="shared" si="15"/>
        <v/>
      </c>
    </row>
    <row r="974" spans="1:7" x14ac:dyDescent="0.25">
      <c r="A974" s="33"/>
      <c r="B974" s="34"/>
      <c r="C974" s="34"/>
      <c r="D974" s="34"/>
      <c r="E974" s="35"/>
      <c r="F974" s="34"/>
      <c r="G974" s="36" t="str">
        <f t="shared" si="15"/>
        <v/>
      </c>
    </row>
    <row r="975" spans="1:7" x14ac:dyDescent="0.25">
      <c r="A975" s="33"/>
      <c r="B975" s="34"/>
      <c r="C975" s="34"/>
      <c r="D975" s="34"/>
      <c r="E975" s="35"/>
      <c r="F975" s="34"/>
      <c r="G975" s="36" t="str">
        <f t="shared" si="15"/>
        <v/>
      </c>
    </row>
    <row r="976" spans="1:7" x14ac:dyDescent="0.25">
      <c r="A976" s="33"/>
      <c r="B976" s="34"/>
      <c r="C976" s="34"/>
      <c r="D976" s="34"/>
      <c r="E976" s="35"/>
      <c r="F976" s="34"/>
      <c r="G976" s="36" t="str">
        <f t="shared" si="15"/>
        <v/>
      </c>
    </row>
    <row r="977" spans="1:7" x14ac:dyDescent="0.25">
      <c r="A977" s="33"/>
      <c r="B977" s="34"/>
      <c r="C977" s="34"/>
      <c r="D977" s="34"/>
      <c r="E977" s="35"/>
      <c r="F977" s="34"/>
      <c r="G977" s="36" t="str">
        <f t="shared" si="15"/>
        <v/>
      </c>
    </row>
    <row r="978" spans="1:7" x14ac:dyDescent="0.25">
      <c r="A978" s="33"/>
      <c r="B978" s="34"/>
      <c r="C978" s="34"/>
      <c r="D978" s="34"/>
      <c r="E978" s="35"/>
      <c r="F978" s="34"/>
      <c r="G978" s="36" t="str">
        <f t="shared" si="15"/>
        <v/>
      </c>
    </row>
    <row r="979" spans="1:7" x14ac:dyDescent="0.25">
      <c r="A979" s="33"/>
      <c r="B979" s="34"/>
      <c r="C979" s="34"/>
      <c r="D979" s="34"/>
      <c r="E979" s="35"/>
      <c r="F979" s="34"/>
      <c r="G979" s="36" t="str">
        <f t="shared" si="15"/>
        <v/>
      </c>
    </row>
    <row r="980" spans="1:7" x14ac:dyDescent="0.25">
      <c r="A980" s="33"/>
      <c r="B980" s="34"/>
      <c r="C980" s="34"/>
      <c r="D980" s="34"/>
      <c r="E980" s="35"/>
      <c r="F980" s="34"/>
      <c r="G980" s="36" t="str">
        <f t="shared" si="15"/>
        <v/>
      </c>
    </row>
    <row r="981" spans="1:7" x14ac:dyDescent="0.25">
      <c r="A981" s="33"/>
      <c r="B981" s="34"/>
      <c r="C981" s="34"/>
      <c r="D981" s="34"/>
      <c r="E981" s="35"/>
      <c r="F981" s="34"/>
      <c r="G981" s="36" t="str">
        <f t="shared" si="15"/>
        <v/>
      </c>
    </row>
    <row r="982" spans="1:7" x14ac:dyDescent="0.25">
      <c r="A982" s="33"/>
      <c r="B982" s="34"/>
      <c r="C982" s="34"/>
      <c r="D982" s="34"/>
      <c r="E982" s="35"/>
      <c r="F982" s="34"/>
      <c r="G982" s="36" t="str">
        <f t="shared" si="15"/>
        <v/>
      </c>
    </row>
    <row r="983" spans="1:7" x14ac:dyDescent="0.25">
      <c r="A983" s="33"/>
      <c r="B983" s="34"/>
      <c r="C983" s="34"/>
      <c r="D983" s="34"/>
      <c r="E983" s="35"/>
      <c r="F983" s="34"/>
      <c r="G983" s="36" t="str">
        <f t="shared" si="15"/>
        <v/>
      </c>
    </row>
    <row r="984" spans="1:7" x14ac:dyDescent="0.25">
      <c r="A984" s="33"/>
      <c r="B984" s="34"/>
      <c r="C984" s="34"/>
      <c r="D984" s="34"/>
      <c r="E984" s="35"/>
      <c r="F984" s="34"/>
      <c r="G984" s="36" t="str">
        <f t="shared" si="15"/>
        <v/>
      </c>
    </row>
    <row r="985" spans="1:7" x14ac:dyDescent="0.25">
      <c r="A985" s="33"/>
      <c r="B985" s="34"/>
      <c r="C985" s="34"/>
      <c r="D985" s="34"/>
      <c r="E985" s="35"/>
      <c r="F985" s="34"/>
      <c r="G985" s="36" t="str">
        <f t="shared" si="15"/>
        <v/>
      </c>
    </row>
    <row r="986" spans="1:7" x14ac:dyDescent="0.25">
      <c r="A986" s="33"/>
      <c r="B986" s="34"/>
      <c r="C986" s="34"/>
      <c r="D986" s="34"/>
      <c r="E986" s="35"/>
      <c r="F986" s="34"/>
      <c r="G986" s="36" t="str">
        <f t="shared" si="15"/>
        <v/>
      </c>
    </row>
    <row r="987" spans="1:7" x14ac:dyDescent="0.25">
      <c r="A987" s="33"/>
      <c r="B987" s="34"/>
      <c r="C987" s="34"/>
      <c r="D987" s="34"/>
      <c r="E987" s="35"/>
      <c r="F987" s="34"/>
      <c r="G987" s="36" t="str">
        <f t="shared" si="15"/>
        <v/>
      </c>
    </row>
    <row r="988" spans="1:7" x14ac:dyDescent="0.25">
      <c r="A988" s="33"/>
      <c r="B988" s="34"/>
      <c r="C988" s="34"/>
      <c r="D988" s="34"/>
      <c r="E988" s="35"/>
      <c r="F988" s="34"/>
      <c r="G988" s="36" t="str">
        <f t="shared" si="15"/>
        <v/>
      </c>
    </row>
    <row r="989" spans="1:7" x14ac:dyDescent="0.25">
      <c r="A989" s="33"/>
      <c r="B989" s="34"/>
      <c r="C989" s="34"/>
      <c r="D989" s="34"/>
      <c r="E989" s="35"/>
      <c r="F989" s="34"/>
      <c r="G989" s="36" t="str">
        <f t="shared" si="15"/>
        <v/>
      </c>
    </row>
    <row r="990" spans="1:7" x14ac:dyDescent="0.25">
      <c r="A990" s="33"/>
      <c r="B990" s="34"/>
      <c r="C990" s="34"/>
      <c r="D990" s="34"/>
      <c r="E990" s="35"/>
      <c r="F990" s="34"/>
      <c r="G990" s="36" t="str">
        <f t="shared" si="15"/>
        <v/>
      </c>
    </row>
    <row r="991" spans="1:7" x14ac:dyDescent="0.25">
      <c r="A991" s="33"/>
      <c r="B991" s="34"/>
      <c r="C991" s="34"/>
      <c r="D991" s="34"/>
      <c r="E991" s="35"/>
      <c r="F991" s="34"/>
      <c r="G991" s="36" t="str">
        <f t="shared" si="15"/>
        <v/>
      </c>
    </row>
    <row r="992" spans="1:7" x14ac:dyDescent="0.25">
      <c r="A992" s="33"/>
      <c r="B992" s="34"/>
      <c r="C992" s="34"/>
      <c r="D992" s="34"/>
      <c r="E992" s="35"/>
      <c r="F992" s="34"/>
      <c r="G992" s="36" t="str">
        <f t="shared" si="15"/>
        <v/>
      </c>
    </row>
    <row r="993" spans="1:7" x14ac:dyDescent="0.25">
      <c r="A993" s="33"/>
      <c r="B993" s="34"/>
      <c r="C993" s="34"/>
      <c r="D993" s="34"/>
      <c r="E993" s="35"/>
      <c r="F993" s="34"/>
      <c r="G993" s="36" t="str">
        <f t="shared" si="15"/>
        <v/>
      </c>
    </row>
    <row r="994" spans="1:7" x14ac:dyDescent="0.25">
      <c r="A994" s="33"/>
      <c r="B994" s="34"/>
      <c r="C994" s="34"/>
      <c r="D994" s="34"/>
      <c r="E994" s="35"/>
      <c r="F994" s="34"/>
      <c r="G994" s="36" t="str">
        <f t="shared" si="15"/>
        <v/>
      </c>
    </row>
    <row r="995" spans="1:7" x14ac:dyDescent="0.25">
      <c r="A995" s="33"/>
      <c r="B995" s="34"/>
      <c r="C995" s="34"/>
      <c r="D995" s="34"/>
      <c r="E995" s="35"/>
      <c r="F995" s="34"/>
      <c r="G995" s="36" t="str">
        <f t="shared" si="15"/>
        <v/>
      </c>
    </row>
    <row r="996" spans="1:7" x14ac:dyDescent="0.25">
      <c r="A996" s="33"/>
      <c r="B996" s="34"/>
      <c r="C996" s="34"/>
      <c r="D996" s="34"/>
      <c r="E996" s="35"/>
      <c r="F996" s="34"/>
      <c r="G996" s="36" t="str">
        <f t="shared" si="15"/>
        <v/>
      </c>
    </row>
    <row r="997" spans="1:7" x14ac:dyDescent="0.25">
      <c r="A997" s="33"/>
      <c r="B997" s="34"/>
      <c r="C997" s="34"/>
      <c r="D997" s="34"/>
      <c r="E997" s="35"/>
      <c r="F997" s="34"/>
      <c r="G997" s="36" t="str">
        <f t="shared" si="15"/>
        <v/>
      </c>
    </row>
    <row r="998" spans="1:7" x14ac:dyDescent="0.25">
      <c r="A998" s="33"/>
      <c r="B998" s="34"/>
      <c r="C998" s="34"/>
      <c r="D998" s="34"/>
      <c r="E998" s="35"/>
      <c r="F998" s="34"/>
      <c r="G998" s="36" t="str">
        <f t="shared" si="15"/>
        <v/>
      </c>
    </row>
    <row r="999" spans="1:7" x14ac:dyDescent="0.25">
      <c r="A999" s="33"/>
      <c r="B999" s="34"/>
      <c r="C999" s="34"/>
      <c r="D999" s="34"/>
      <c r="E999" s="35"/>
      <c r="F999" s="34"/>
      <c r="G999" s="36" t="str">
        <f t="shared" si="15"/>
        <v/>
      </c>
    </row>
    <row r="1000" spans="1:7" x14ac:dyDescent="0.25">
      <c r="A1000" s="33"/>
      <c r="B1000" s="34"/>
      <c r="C1000" s="34"/>
      <c r="D1000" s="34"/>
      <c r="E1000" s="35"/>
      <c r="F1000" s="34"/>
      <c r="G1000" s="36" t="str">
        <f t="shared" si="15"/>
        <v/>
      </c>
    </row>
    <row r="1001" spans="1:7" x14ac:dyDescent="0.25">
      <c r="A1001" s="33"/>
      <c r="B1001" s="34"/>
      <c r="C1001" s="34"/>
      <c r="D1001" s="34"/>
      <c r="E1001" s="35"/>
      <c r="F1001" s="34"/>
      <c r="G1001" s="36" t="str">
        <f t="shared" si="15"/>
        <v/>
      </c>
    </row>
    <row r="1002" spans="1:7" x14ac:dyDescent="0.25">
      <c r="A1002" s="33"/>
      <c r="B1002" s="34"/>
      <c r="C1002" s="34"/>
      <c r="D1002" s="34"/>
      <c r="E1002" s="35"/>
      <c r="F1002" s="34"/>
      <c r="G1002" s="36" t="str">
        <f t="shared" si="15"/>
        <v/>
      </c>
    </row>
    <row r="1003" spans="1:7" x14ac:dyDescent="0.25">
      <c r="A1003" s="33"/>
      <c r="B1003" s="34"/>
      <c r="C1003" s="34"/>
      <c r="D1003" s="34"/>
      <c r="E1003" s="35"/>
      <c r="F1003" s="34"/>
      <c r="G1003" s="36" t="str">
        <f t="shared" si="15"/>
        <v/>
      </c>
    </row>
    <row r="1004" spans="1:7" x14ac:dyDescent="0.25">
      <c r="A1004" s="33"/>
      <c r="B1004" s="34"/>
      <c r="C1004" s="34"/>
      <c r="D1004" s="34"/>
      <c r="E1004" s="35"/>
      <c r="F1004" s="34"/>
      <c r="G1004" s="36" t="str">
        <f t="shared" si="15"/>
        <v/>
      </c>
    </row>
    <row r="1005" spans="1:7" x14ac:dyDescent="0.25">
      <c r="A1005" s="33"/>
      <c r="B1005" s="34"/>
      <c r="C1005" s="34"/>
      <c r="D1005" s="34"/>
      <c r="E1005" s="35"/>
      <c r="F1005" s="34"/>
      <c r="G1005" s="36" t="str">
        <f t="shared" si="15"/>
        <v/>
      </c>
    </row>
  </sheetData>
  <dataValidations count="1">
    <dataValidation type="list" allowBlank="1" sqref="C6:C1005" xr:uid="{00000000-0002-0000-0400-000001000000}">
      <formula1>"Surat,Burrabazar,Other"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Inputs!$A$31:$A$34</xm:f>
          </x14:formula1>
          <xm:sqref>B6:B1005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0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2" width="14" customWidth="1"/>
    <col min="3" max="3" width="22" customWidth="1"/>
    <col min="4" max="4" width="12" customWidth="1"/>
    <col min="5" max="5" width="26" customWidth="1"/>
    <col min="6" max="6" width="10" customWidth="1"/>
    <col min="7" max="7" width="12" customWidth="1"/>
    <col min="8" max="9" width="9" customWidth="1"/>
    <col min="10" max="10" width="16" customWidth="1"/>
    <col min="11" max="11" width="9" customWidth="1"/>
    <col min="12" max="12" width="10" customWidth="1"/>
    <col min="13" max="13" width="32" customWidth="1"/>
    <col min="14" max="14" width="16" customWidth="1"/>
    <col min="15" max="15" width="12" customWidth="1"/>
  </cols>
  <sheetData>
    <row r="1" spans="1:15" ht="18" x14ac:dyDescent="0.25">
      <c r="A1" s="1" t="s">
        <v>173</v>
      </c>
    </row>
    <row r="2" spans="1:15" x14ac:dyDescent="0.25">
      <c r="A2" s="2" t="s">
        <v>174</v>
      </c>
    </row>
    <row r="3" spans="1:15" x14ac:dyDescent="0.25">
      <c r="A3" s="2" t="s">
        <v>175</v>
      </c>
      <c r="B3" s="31">
        <v>46329</v>
      </c>
      <c r="C3" s="2" t="s">
        <v>109</v>
      </c>
      <c r="D3" s="2" t="s">
        <v>46</v>
      </c>
      <c r="E3" s="2" t="s">
        <v>176</v>
      </c>
      <c r="F3" s="2">
        <v>40</v>
      </c>
      <c r="G3" s="32">
        <v>480</v>
      </c>
      <c r="H3" s="2">
        <v>12</v>
      </c>
      <c r="I3" s="2" t="s">
        <v>177</v>
      </c>
    </row>
    <row r="5" spans="1:15" ht="38.25" x14ac:dyDescent="0.25">
      <c r="A5" s="8" t="s">
        <v>178</v>
      </c>
      <c r="B5" s="8" t="s">
        <v>179</v>
      </c>
      <c r="C5" s="8" t="s">
        <v>28</v>
      </c>
      <c r="D5" s="8" t="s">
        <v>42</v>
      </c>
      <c r="E5" s="8" t="s">
        <v>180</v>
      </c>
      <c r="F5" s="8" t="s">
        <v>181</v>
      </c>
      <c r="G5" s="8" t="s">
        <v>182</v>
      </c>
      <c r="H5" s="8" t="s">
        <v>183</v>
      </c>
      <c r="I5" s="8" t="s">
        <v>184</v>
      </c>
      <c r="J5" s="8" t="s">
        <v>185</v>
      </c>
      <c r="K5" s="8" t="s">
        <v>186</v>
      </c>
      <c r="L5" s="8" t="s">
        <v>61</v>
      </c>
      <c r="M5" s="8" t="s">
        <v>187</v>
      </c>
      <c r="N5" s="8" t="s">
        <v>188</v>
      </c>
      <c r="O5" s="8" t="s">
        <v>189</v>
      </c>
    </row>
    <row r="6" spans="1:15" x14ac:dyDescent="0.25">
      <c r="A6" s="34"/>
      <c r="B6" s="33"/>
      <c r="C6" s="34"/>
      <c r="D6" s="34"/>
      <c r="E6" s="34"/>
      <c r="F6" s="34"/>
      <c r="G6" s="35"/>
      <c r="H6" s="34"/>
      <c r="I6" s="5" t="str">
        <f t="shared" ref="I6:I69" si="0">IF(A6="","",F6-H6)</f>
        <v/>
      </c>
      <c r="J6" s="12" t="str">
        <f t="shared" ref="J6:J69" si="1">IF(A6="","",I6*G6)</f>
        <v/>
      </c>
      <c r="K6" s="37" t="str">
        <f>IF(A6="","",Inputs!$B$11-B6)</f>
        <v/>
      </c>
      <c r="L6" s="5" t="str">
        <f>IF(A6="","",IF(I6&lt;=0,"Sold out",IF(K6&gt;=Inputs!$B$18,"Dead",IF(K6&gt;=Inputs!$B$17,"Ageing",IF(K6&gt;=Inputs!$B$16,"Watch","Fresh")))))</f>
        <v/>
      </c>
      <c r="M6" s="5" t="str">
        <f t="shared" ref="M6:M69" si="2">IF(L6="","",IF(L6="Dead","Clearance / exchange with vendor",IF(L6="Ageing","Markdown 20-30%",IF(L6="Watch","Push in reels &amp; WhatsApp broadcast",IF(L6="Fresh","OK","-")))))</f>
        <v/>
      </c>
      <c r="N6" s="12" t="str">
        <f t="shared" ref="N6:N69" si="3">IF(A6="","",F6*G6)</f>
        <v/>
      </c>
      <c r="O6" s="36" t="str">
        <f t="shared" ref="O6:O69" si="4">IF(B6="","",DATE(YEAR(B6),MONTH(B6),1))</f>
        <v/>
      </c>
    </row>
    <row r="7" spans="1:15" x14ac:dyDescent="0.25">
      <c r="A7" s="34"/>
      <c r="B7" s="33"/>
      <c r="C7" s="34"/>
      <c r="D7" s="34"/>
      <c r="E7" s="34"/>
      <c r="F7" s="34"/>
      <c r="G7" s="35"/>
      <c r="H7" s="34"/>
      <c r="I7" s="5" t="str">
        <f t="shared" si="0"/>
        <v/>
      </c>
      <c r="J7" s="12" t="str">
        <f t="shared" si="1"/>
        <v/>
      </c>
      <c r="K7" s="37" t="str">
        <f>IF(A7="","",Inputs!$B$11-B7)</f>
        <v/>
      </c>
      <c r="L7" s="5" t="str">
        <f>IF(A7="","",IF(I7&lt;=0,"Sold out",IF(K7&gt;=Inputs!$B$18,"Dead",IF(K7&gt;=Inputs!$B$17,"Ageing",IF(K7&gt;=Inputs!$B$16,"Watch","Fresh")))))</f>
        <v/>
      </c>
      <c r="M7" s="5" t="str">
        <f t="shared" si="2"/>
        <v/>
      </c>
      <c r="N7" s="12" t="str">
        <f t="shared" si="3"/>
        <v/>
      </c>
      <c r="O7" s="36" t="str">
        <f t="shared" si="4"/>
        <v/>
      </c>
    </row>
    <row r="8" spans="1:15" x14ac:dyDescent="0.25">
      <c r="A8" s="34"/>
      <c r="B8" s="33"/>
      <c r="C8" s="34"/>
      <c r="D8" s="34"/>
      <c r="E8" s="34"/>
      <c r="F8" s="34"/>
      <c r="G8" s="35"/>
      <c r="H8" s="34"/>
      <c r="I8" s="5" t="str">
        <f t="shared" si="0"/>
        <v/>
      </c>
      <c r="J8" s="12" t="str">
        <f t="shared" si="1"/>
        <v/>
      </c>
      <c r="K8" s="37" t="str">
        <f>IF(A8="","",Inputs!$B$11-B8)</f>
        <v/>
      </c>
      <c r="L8" s="5" t="str">
        <f>IF(A8="","",IF(I8&lt;=0,"Sold out",IF(K8&gt;=Inputs!$B$18,"Dead",IF(K8&gt;=Inputs!$B$17,"Ageing",IF(K8&gt;=Inputs!$B$16,"Watch","Fresh")))))</f>
        <v/>
      </c>
      <c r="M8" s="5" t="str">
        <f t="shared" si="2"/>
        <v/>
      </c>
      <c r="N8" s="12" t="str">
        <f t="shared" si="3"/>
        <v/>
      </c>
      <c r="O8" s="36" t="str">
        <f t="shared" si="4"/>
        <v/>
      </c>
    </row>
    <row r="9" spans="1:15" x14ac:dyDescent="0.25">
      <c r="A9" s="34"/>
      <c r="B9" s="33"/>
      <c r="C9" s="34"/>
      <c r="D9" s="34"/>
      <c r="E9" s="34"/>
      <c r="F9" s="34"/>
      <c r="G9" s="35"/>
      <c r="H9" s="34"/>
      <c r="I9" s="5" t="str">
        <f t="shared" si="0"/>
        <v/>
      </c>
      <c r="J9" s="12" t="str">
        <f t="shared" si="1"/>
        <v/>
      </c>
      <c r="K9" s="37" t="str">
        <f>IF(A9="","",Inputs!$B$11-B9)</f>
        <v/>
      </c>
      <c r="L9" s="5" t="str">
        <f>IF(A9="","",IF(I9&lt;=0,"Sold out",IF(K9&gt;=Inputs!$B$18,"Dead",IF(K9&gt;=Inputs!$B$17,"Ageing",IF(K9&gt;=Inputs!$B$16,"Watch","Fresh")))))</f>
        <v/>
      </c>
      <c r="M9" s="5" t="str">
        <f t="shared" si="2"/>
        <v/>
      </c>
      <c r="N9" s="12" t="str">
        <f t="shared" si="3"/>
        <v/>
      </c>
      <c r="O9" s="36" t="str">
        <f t="shared" si="4"/>
        <v/>
      </c>
    </row>
    <row r="10" spans="1:15" x14ac:dyDescent="0.25">
      <c r="A10" s="34"/>
      <c r="B10" s="33"/>
      <c r="C10" s="34"/>
      <c r="D10" s="34"/>
      <c r="E10" s="34"/>
      <c r="F10" s="34"/>
      <c r="G10" s="35"/>
      <c r="H10" s="34"/>
      <c r="I10" s="5" t="str">
        <f t="shared" si="0"/>
        <v/>
      </c>
      <c r="J10" s="12" t="str">
        <f t="shared" si="1"/>
        <v/>
      </c>
      <c r="K10" s="37" t="str">
        <f>IF(A10="","",Inputs!$B$11-B10)</f>
        <v/>
      </c>
      <c r="L10" s="5" t="str">
        <f>IF(A10="","",IF(I10&lt;=0,"Sold out",IF(K10&gt;=Inputs!$B$18,"Dead",IF(K10&gt;=Inputs!$B$17,"Ageing",IF(K10&gt;=Inputs!$B$16,"Watch","Fresh")))))</f>
        <v/>
      </c>
      <c r="M10" s="5" t="str">
        <f t="shared" si="2"/>
        <v/>
      </c>
      <c r="N10" s="12" t="str">
        <f t="shared" si="3"/>
        <v/>
      </c>
      <c r="O10" s="36" t="str">
        <f t="shared" si="4"/>
        <v/>
      </c>
    </row>
    <row r="11" spans="1:15" x14ac:dyDescent="0.25">
      <c r="A11" s="34"/>
      <c r="B11" s="33"/>
      <c r="C11" s="34"/>
      <c r="D11" s="34"/>
      <c r="E11" s="34"/>
      <c r="F11" s="34"/>
      <c r="G11" s="35"/>
      <c r="H11" s="34"/>
      <c r="I11" s="5" t="str">
        <f t="shared" si="0"/>
        <v/>
      </c>
      <c r="J11" s="12" t="str">
        <f t="shared" si="1"/>
        <v/>
      </c>
      <c r="K11" s="37" t="str">
        <f>IF(A11="","",Inputs!$B$11-B11)</f>
        <v/>
      </c>
      <c r="L11" s="5" t="str">
        <f>IF(A11="","",IF(I11&lt;=0,"Sold out",IF(K11&gt;=Inputs!$B$18,"Dead",IF(K11&gt;=Inputs!$B$17,"Ageing",IF(K11&gt;=Inputs!$B$16,"Watch","Fresh")))))</f>
        <v/>
      </c>
      <c r="M11" s="5" t="str">
        <f t="shared" si="2"/>
        <v/>
      </c>
      <c r="N11" s="12" t="str">
        <f t="shared" si="3"/>
        <v/>
      </c>
      <c r="O11" s="36" t="str">
        <f t="shared" si="4"/>
        <v/>
      </c>
    </row>
    <row r="12" spans="1:15" x14ac:dyDescent="0.25">
      <c r="A12" s="34"/>
      <c r="B12" s="33"/>
      <c r="C12" s="34"/>
      <c r="D12" s="34"/>
      <c r="E12" s="34"/>
      <c r="F12" s="34"/>
      <c r="G12" s="35"/>
      <c r="H12" s="34"/>
      <c r="I12" s="5" t="str">
        <f t="shared" si="0"/>
        <v/>
      </c>
      <c r="J12" s="12" t="str">
        <f t="shared" si="1"/>
        <v/>
      </c>
      <c r="K12" s="37" t="str">
        <f>IF(A12="","",Inputs!$B$11-B12)</f>
        <v/>
      </c>
      <c r="L12" s="5" t="str">
        <f>IF(A12="","",IF(I12&lt;=0,"Sold out",IF(K12&gt;=Inputs!$B$18,"Dead",IF(K12&gt;=Inputs!$B$17,"Ageing",IF(K12&gt;=Inputs!$B$16,"Watch","Fresh")))))</f>
        <v/>
      </c>
      <c r="M12" s="5" t="str">
        <f t="shared" si="2"/>
        <v/>
      </c>
      <c r="N12" s="12" t="str">
        <f t="shared" si="3"/>
        <v/>
      </c>
      <c r="O12" s="36" t="str">
        <f t="shared" si="4"/>
        <v/>
      </c>
    </row>
    <row r="13" spans="1:15" x14ac:dyDescent="0.25">
      <c r="A13" s="34"/>
      <c r="B13" s="33"/>
      <c r="C13" s="34"/>
      <c r="D13" s="34"/>
      <c r="E13" s="34"/>
      <c r="F13" s="34"/>
      <c r="G13" s="35"/>
      <c r="H13" s="34"/>
      <c r="I13" s="5" t="str">
        <f t="shared" si="0"/>
        <v/>
      </c>
      <c r="J13" s="12" t="str">
        <f t="shared" si="1"/>
        <v/>
      </c>
      <c r="K13" s="37" t="str">
        <f>IF(A13="","",Inputs!$B$11-B13)</f>
        <v/>
      </c>
      <c r="L13" s="5" t="str">
        <f>IF(A13="","",IF(I13&lt;=0,"Sold out",IF(K13&gt;=Inputs!$B$18,"Dead",IF(K13&gt;=Inputs!$B$17,"Ageing",IF(K13&gt;=Inputs!$B$16,"Watch","Fresh")))))</f>
        <v/>
      </c>
      <c r="M13" s="5" t="str">
        <f t="shared" si="2"/>
        <v/>
      </c>
      <c r="N13" s="12" t="str">
        <f t="shared" si="3"/>
        <v/>
      </c>
      <c r="O13" s="36" t="str">
        <f t="shared" si="4"/>
        <v/>
      </c>
    </row>
    <row r="14" spans="1:15" x14ac:dyDescent="0.25">
      <c r="A14" s="34"/>
      <c r="B14" s="33"/>
      <c r="C14" s="34"/>
      <c r="D14" s="34"/>
      <c r="E14" s="34"/>
      <c r="F14" s="34"/>
      <c r="G14" s="35"/>
      <c r="H14" s="34"/>
      <c r="I14" s="5" t="str">
        <f t="shared" si="0"/>
        <v/>
      </c>
      <c r="J14" s="12" t="str">
        <f t="shared" si="1"/>
        <v/>
      </c>
      <c r="K14" s="37" t="str">
        <f>IF(A14="","",Inputs!$B$11-B14)</f>
        <v/>
      </c>
      <c r="L14" s="5" t="str">
        <f>IF(A14="","",IF(I14&lt;=0,"Sold out",IF(K14&gt;=Inputs!$B$18,"Dead",IF(K14&gt;=Inputs!$B$17,"Ageing",IF(K14&gt;=Inputs!$B$16,"Watch","Fresh")))))</f>
        <v/>
      </c>
      <c r="M14" s="5" t="str">
        <f t="shared" si="2"/>
        <v/>
      </c>
      <c r="N14" s="12" t="str">
        <f t="shared" si="3"/>
        <v/>
      </c>
      <c r="O14" s="36" t="str">
        <f t="shared" si="4"/>
        <v/>
      </c>
    </row>
    <row r="15" spans="1:15" x14ac:dyDescent="0.25">
      <c r="A15" s="34"/>
      <c r="B15" s="33"/>
      <c r="C15" s="34"/>
      <c r="D15" s="34"/>
      <c r="E15" s="34"/>
      <c r="F15" s="34"/>
      <c r="G15" s="35"/>
      <c r="H15" s="34"/>
      <c r="I15" s="5" t="str">
        <f t="shared" si="0"/>
        <v/>
      </c>
      <c r="J15" s="12" t="str">
        <f t="shared" si="1"/>
        <v/>
      </c>
      <c r="K15" s="37" t="str">
        <f>IF(A15="","",Inputs!$B$11-B15)</f>
        <v/>
      </c>
      <c r="L15" s="5" t="str">
        <f>IF(A15="","",IF(I15&lt;=0,"Sold out",IF(K15&gt;=Inputs!$B$18,"Dead",IF(K15&gt;=Inputs!$B$17,"Ageing",IF(K15&gt;=Inputs!$B$16,"Watch","Fresh")))))</f>
        <v/>
      </c>
      <c r="M15" s="5" t="str">
        <f t="shared" si="2"/>
        <v/>
      </c>
      <c r="N15" s="12" t="str">
        <f t="shared" si="3"/>
        <v/>
      </c>
      <c r="O15" s="36" t="str">
        <f t="shared" si="4"/>
        <v/>
      </c>
    </row>
    <row r="16" spans="1:15" x14ac:dyDescent="0.25">
      <c r="A16" s="34"/>
      <c r="B16" s="33"/>
      <c r="C16" s="34"/>
      <c r="D16" s="34"/>
      <c r="E16" s="34"/>
      <c r="F16" s="34"/>
      <c r="G16" s="35"/>
      <c r="H16" s="34"/>
      <c r="I16" s="5" t="str">
        <f t="shared" si="0"/>
        <v/>
      </c>
      <c r="J16" s="12" t="str">
        <f t="shared" si="1"/>
        <v/>
      </c>
      <c r="K16" s="37" t="str">
        <f>IF(A16="","",Inputs!$B$11-B16)</f>
        <v/>
      </c>
      <c r="L16" s="5" t="str">
        <f>IF(A16="","",IF(I16&lt;=0,"Sold out",IF(K16&gt;=Inputs!$B$18,"Dead",IF(K16&gt;=Inputs!$B$17,"Ageing",IF(K16&gt;=Inputs!$B$16,"Watch","Fresh")))))</f>
        <v/>
      </c>
      <c r="M16" s="5" t="str">
        <f t="shared" si="2"/>
        <v/>
      </c>
      <c r="N16" s="12" t="str">
        <f t="shared" si="3"/>
        <v/>
      </c>
      <c r="O16" s="36" t="str">
        <f t="shared" si="4"/>
        <v/>
      </c>
    </row>
    <row r="17" spans="1:15" x14ac:dyDescent="0.25">
      <c r="A17" s="34"/>
      <c r="B17" s="33"/>
      <c r="C17" s="34"/>
      <c r="D17" s="34"/>
      <c r="E17" s="34"/>
      <c r="F17" s="34"/>
      <c r="G17" s="35"/>
      <c r="H17" s="34"/>
      <c r="I17" s="5" t="str">
        <f t="shared" si="0"/>
        <v/>
      </c>
      <c r="J17" s="12" t="str">
        <f t="shared" si="1"/>
        <v/>
      </c>
      <c r="K17" s="37" t="str">
        <f>IF(A17="","",Inputs!$B$11-B17)</f>
        <v/>
      </c>
      <c r="L17" s="5" t="str">
        <f>IF(A17="","",IF(I17&lt;=0,"Sold out",IF(K17&gt;=Inputs!$B$18,"Dead",IF(K17&gt;=Inputs!$B$17,"Ageing",IF(K17&gt;=Inputs!$B$16,"Watch","Fresh")))))</f>
        <v/>
      </c>
      <c r="M17" s="5" t="str">
        <f t="shared" si="2"/>
        <v/>
      </c>
      <c r="N17" s="12" t="str">
        <f t="shared" si="3"/>
        <v/>
      </c>
      <c r="O17" s="36" t="str">
        <f t="shared" si="4"/>
        <v/>
      </c>
    </row>
    <row r="18" spans="1:15" x14ac:dyDescent="0.25">
      <c r="A18" s="34"/>
      <c r="B18" s="33"/>
      <c r="C18" s="34"/>
      <c r="D18" s="34"/>
      <c r="E18" s="34"/>
      <c r="F18" s="34"/>
      <c r="G18" s="35"/>
      <c r="H18" s="34"/>
      <c r="I18" s="5" t="str">
        <f t="shared" si="0"/>
        <v/>
      </c>
      <c r="J18" s="12" t="str">
        <f t="shared" si="1"/>
        <v/>
      </c>
      <c r="K18" s="37" t="str">
        <f>IF(A18="","",Inputs!$B$11-B18)</f>
        <v/>
      </c>
      <c r="L18" s="5" t="str">
        <f>IF(A18="","",IF(I18&lt;=0,"Sold out",IF(K18&gt;=Inputs!$B$18,"Dead",IF(K18&gt;=Inputs!$B$17,"Ageing",IF(K18&gt;=Inputs!$B$16,"Watch","Fresh")))))</f>
        <v/>
      </c>
      <c r="M18" s="5" t="str">
        <f t="shared" si="2"/>
        <v/>
      </c>
      <c r="N18" s="12" t="str">
        <f t="shared" si="3"/>
        <v/>
      </c>
      <c r="O18" s="36" t="str">
        <f t="shared" si="4"/>
        <v/>
      </c>
    </row>
    <row r="19" spans="1:15" x14ac:dyDescent="0.25">
      <c r="A19" s="34"/>
      <c r="B19" s="33"/>
      <c r="C19" s="34"/>
      <c r="D19" s="34"/>
      <c r="E19" s="34"/>
      <c r="F19" s="34"/>
      <c r="G19" s="35"/>
      <c r="H19" s="34"/>
      <c r="I19" s="5" t="str">
        <f t="shared" si="0"/>
        <v/>
      </c>
      <c r="J19" s="12" t="str">
        <f t="shared" si="1"/>
        <v/>
      </c>
      <c r="K19" s="37" t="str">
        <f>IF(A19="","",Inputs!$B$11-B19)</f>
        <v/>
      </c>
      <c r="L19" s="5" t="str">
        <f>IF(A19="","",IF(I19&lt;=0,"Sold out",IF(K19&gt;=Inputs!$B$18,"Dead",IF(K19&gt;=Inputs!$B$17,"Ageing",IF(K19&gt;=Inputs!$B$16,"Watch","Fresh")))))</f>
        <v/>
      </c>
      <c r="M19" s="5" t="str">
        <f t="shared" si="2"/>
        <v/>
      </c>
      <c r="N19" s="12" t="str">
        <f t="shared" si="3"/>
        <v/>
      </c>
      <c r="O19" s="36" t="str">
        <f t="shared" si="4"/>
        <v/>
      </c>
    </row>
    <row r="20" spans="1:15" x14ac:dyDescent="0.25">
      <c r="A20" s="34"/>
      <c r="B20" s="33"/>
      <c r="C20" s="34"/>
      <c r="D20" s="34"/>
      <c r="E20" s="34"/>
      <c r="F20" s="34"/>
      <c r="G20" s="35"/>
      <c r="H20" s="34"/>
      <c r="I20" s="5" t="str">
        <f t="shared" si="0"/>
        <v/>
      </c>
      <c r="J20" s="12" t="str">
        <f t="shared" si="1"/>
        <v/>
      </c>
      <c r="K20" s="37" t="str">
        <f>IF(A20="","",Inputs!$B$11-B20)</f>
        <v/>
      </c>
      <c r="L20" s="5" t="str">
        <f>IF(A20="","",IF(I20&lt;=0,"Sold out",IF(K20&gt;=Inputs!$B$18,"Dead",IF(K20&gt;=Inputs!$B$17,"Ageing",IF(K20&gt;=Inputs!$B$16,"Watch","Fresh")))))</f>
        <v/>
      </c>
      <c r="M20" s="5" t="str">
        <f t="shared" si="2"/>
        <v/>
      </c>
      <c r="N20" s="12" t="str">
        <f t="shared" si="3"/>
        <v/>
      </c>
      <c r="O20" s="36" t="str">
        <f t="shared" si="4"/>
        <v/>
      </c>
    </row>
    <row r="21" spans="1:15" x14ac:dyDescent="0.25">
      <c r="A21" s="34"/>
      <c r="B21" s="33"/>
      <c r="C21" s="34"/>
      <c r="D21" s="34"/>
      <c r="E21" s="34"/>
      <c r="F21" s="34"/>
      <c r="G21" s="35"/>
      <c r="H21" s="34"/>
      <c r="I21" s="5" t="str">
        <f t="shared" si="0"/>
        <v/>
      </c>
      <c r="J21" s="12" t="str">
        <f t="shared" si="1"/>
        <v/>
      </c>
      <c r="K21" s="37" t="str">
        <f>IF(A21="","",Inputs!$B$11-B21)</f>
        <v/>
      </c>
      <c r="L21" s="5" t="str">
        <f>IF(A21="","",IF(I21&lt;=0,"Sold out",IF(K21&gt;=Inputs!$B$18,"Dead",IF(K21&gt;=Inputs!$B$17,"Ageing",IF(K21&gt;=Inputs!$B$16,"Watch","Fresh")))))</f>
        <v/>
      </c>
      <c r="M21" s="5" t="str">
        <f t="shared" si="2"/>
        <v/>
      </c>
      <c r="N21" s="12" t="str">
        <f t="shared" si="3"/>
        <v/>
      </c>
      <c r="O21" s="36" t="str">
        <f t="shared" si="4"/>
        <v/>
      </c>
    </row>
    <row r="22" spans="1:15" x14ac:dyDescent="0.25">
      <c r="A22" s="34"/>
      <c r="B22" s="33"/>
      <c r="C22" s="34"/>
      <c r="D22" s="34"/>
      <c r="E22" s="34"/>
      <c r="F22" s="34"/>
      <c r="G22" s="35"/>
      <c r="H22" s="34"/>
      <c r="I22" s="5" t="str">
        <f t="shared" si="0"/>
        <v/>
      </c>
      <c r="J22" s="12" t="str">
        <f t="shared" si="1"/>
        <v/>
      </c>
      <c r="K22" s="37" t="str">
        <f>IF(A22="","",Inputs!$B$11-B22)</f>
        <v/>
      </c>
      <c r="L22" s="5" t="str">
        <f>IF(A22="","",IF(I22&lt;=0,"Sold out",IF(K22&gt;=Inputs!$B$18,"Dead",IF(K22&gt;=Inputs!$B$17,"Ageing",IF(K22&gt;=Inputs!$B$16,"Watch","Fresh")))))</f>
        <v/>
      </c>
      <c r="M22" s="5" t="str">
        <f t="shared" si="2"/>
        <v/>
      </c>
      <c r="N22" s="12" t="str">
        <f t="shared" si="3"/>
        <v/>
      </c>
      <c r="O22" s="36" t="str">
        <f t="shared" si="4"/>
        <v/>
      </c>
    </row>
    <row r="23" spans="1:15" x14ac:dyDescent="0.25">
      <c r="A23" s="34"/>
      <c r="B23" s="33"/>
      <c r="C23" s="34"/>
      <c r="D23" s="34"/>
      <c r="E23" s="34"/>
      <c r="F23" s="34"/>
      <c r="G23" s="35"/>
      <c r="H23" s="34"/>
      <c r="I23" s="5" t="str">
        <f t="shared" si="0"/>
        <v/>
      </c>
      <c r="J23" s="12" t="str">
        <f t="shared" si="1"/>
        <v/>
      </c>
      <c r="K23" s="37" t="str">
        <f>IF(A23="","",Inputs!$B$11-B23)</f>
        <v/>
      </c>
      <c r="L23" s="5" t="str">
        <f>IF(A23="","",IF(I23&lt;=0,"Sold out",IF(K23&gt;=Inputs!$B$18,"Dead",IF(K23&gt;=Inputs!$B$17,"Ageing",IF(K23&gt;=Inputs!$B$16,"Watch","Fresh")))))</f>
        <v/>
      </c>
      <c r="M23" s="5" t="str">
        <f t="shared" si="2"/>
        <v/>
      </c>
      <c r="N23" s="12" t="str">
        <f t="shared" si="3"/>
        <v/>
      </c>
      <c r="O23" s="36" t="str">
        <f t="shared" si="4"/>
        <v/>
      </c>
    </row>
    <row r="24" spans="1:15" x14ac:dyDescent="0.25">
      <c r="A24" s="34"/>
      <c r="B24" s="33"/>
      <c r="C24" s="34"/>
      <c r="D24" s="34"/>
      <c r="E24" s="34"/>
      <c r="F24" s="34"/>
      <c r="G24" s="35"/>
      <c r="H24" s="34"/>
      <c r="I24" s="5" t="str">
        <f t="shared" si="0"/>
        <v/>
      </c>
      <c r="J24" s="12" t="str">
        <f t="shared" si="1"/>
        <v/>
      </c>
      <c r="K24" s="37" t="str">
        <f>IF(A24="","",Inputs!$B$11-B24)</f>
        <v/>
      </c>
      <c r="L24" s="5" t="str">
        <f>IF(A24="","",IF(I24&lt;=0,"Sold out",IF(K24&gt;=Inputs!$B$18,"Dead",IF(K24&gt;=Inputs!$B$17,"Ageing",IF(K24&gt;=Inputs!$B$16,"Watch","Fresh")))))</f>
        <v/>
      </c>
      <c r="M24" s="5" t="str">
        <f t="shared" si="2"/>
        <v/>
      </c>
      <c r="N24" s="12" t="str">
        <f t="shared" si="3"/>
        <v/>
      </c>
      <c r="O24" s="36" t="str">
        <f t="shared" si="4"/>
        <v/>
      </c>
    </row>
    <row r="25" spans="1:15" x14ac:dyDescent="0.25">
      <c r="A25" s="34"/>
      <c r="B25" s="33"/>
      <c r="C25" s="34"/>
      <c r="D25" s="34"/>
      <c r="E25" s="34"/>
      <c r="F25" s="34"/>
      <c r="G25" s="35"/>
      <c r="H25" s="34"/>
      <c r="I25" s="5" t="str">
        <f t="shared" si="0"/>
        <v/>
      </c>
      <c r="J25" s="12" t="str">
        <f t="shared" si="1"/>
        <v/>
      </c>
      <c r="K25" s="37" t="str">
        <f>IF(A25="","",Inputs!$B$11-B25)</f>
        <v/>
      </c>
      <c r="L25" s="5" t="str">
        <f>IF(A25="","",IF(I25&lt;=0,"Sold out",IF(K25&gt;=Inputs!$B$18,"Dead",IF(K25&gt;=Inputs!$B$17,"Ageing",IF(K25&gt;=Inputs!$B$16,"Watch","Fresh")))))</f>
        <v/>
      </c>
      <c r="M25" s="5" t="str">
        <f t="shared" si="2"/>
        <v/>
      </c>
      <c r="N25" s="12" t="str">
        <f t="shared" si="3"/>
        <v/>
      </c>
      <c r="O25" s="36" t="str">
        <f t="shared" si="4"/>
        <v/>
      </c>
    </row>
    <row r="26" spans="1:15" x14ac:dyDescent="0.25">
      <c r="A26" s="34"/>
      <c r="B26" s="33"/>
      <c r="C26" s="34"/>
      <c r="D26" s="34"/>
      <c r="E26" s="34"/>
      <c r="F26" s="34"/>
      <c r="G26" s="35"/>
      <c r="H26" s="34"/>
      <c r="I26" s="5" t="str">
        <f t="shared" si="0"/>
        <v/>
      </c>
      <c r="J26" s="12" t="str">
        <f t="shared" si="1"/>
        <v/>
      </c>
      <c r="K26" s="37" t="str">
        <f>IF(A26="","",Inputs!$B$11-B26)</f>
        <v/>
      </c>
      <c r="L26" s="5" t="str">
        <f>IF(A26="","",IF(I26&lt;=0,"Sold out",IF(K26&gt;=Inputs!$B$18,"Dead",IF(K26&gt;=Inputs!$B$17,"Ageing",IF(K26&gt;=Inputs!$B$16,"Watch","Fresh")))))</f>
        <v/>
      </c>
      <c r="M26" s="5" t="str">
        <f t="shared" si="2"/>
        <v/>
      </c>
      <c r="N26" s="12" t="str">
        <f t="shared" si="3"/>
        <v/>
      </c>
      <c r="O26" s="36" t="str">
        <f t="shared" si="4"/>
        <v/>
      </c>
    </row>
    <row r="27" spans="1:15" x14ac:dyDescent="0.25">
      <c r="A27" s="34"/>
      <c r="B27" s="33"/>
      <c r="C27" s="34"/>
      <c r="D27" s="34"/>
      <c r="E27" s="34"/>
      <c r="F27" s="34"/>
      <c r="G27" s="35"/>
      <c r="H27" s="34"/>
      <c r="I27" s="5" t="str">
        <f t="shared" si="0"/>
        <v/>
      </c>
      <c r="J27" s="12" t="str">
        <f t="shared" si="1"/>
        <v/>
      </c>
      <c r="K27" s="37" t="str">
        <f>IF(A27="","",Inputs!$B$11-B27)</f>
        <v/>
      </c>
      <c r="L27" s="5" t="str">
        <f>IF(A27="","",IF(I27&lt;=0,"Sold out",IF(K27&gt;=Inputs!$B$18,"Dead",IF(K27&gt;=Inputs!$B$17,"Ageing",IF(K27&gt;=Inputs!$B$16,"Watch","Fresh")))))</f>
        <v/>
      </c>
      <c r="M27" s="5" t="str">
        <f t="shared" si="2"/>
        <v/>
      </c>
      <c r="N27" s="12" t="str">
        <f t="shared" si="3"/>
        <v/>
      </c>
      <c r="O27" s="36" t="str">
        <f t="shared" si="4"/>
        <v/>
      </c>
    </row>
    <row r="28" spans="1:15" x14ac:dyDescent="0.25">
      <c r="A28" s="34"/>
      <c r="B28" s="33"/>
      <c r="C28" s="34"/>
      <c r="D28" s="34"/>
      <c r="E28" s="34"/>
      <c r="F28" s="34"/>
      <c r="G28" s="35"/>
      <c r="H28" s="34"/>
      <c r="I28" s="5" t="str">
        <f t="shared" si="0"/>
        <v/>
      </c>
      <c r="J28" s="12" t="str">
        <f t="shared" si="1"/>
        <v/>
      </c>
      <c r="K28" s="37" t="str">
        <f>IF(A28="","",Inputs!$B$11-B28)</f>
        <v/>
      </c>
      <c r="L28" s="5" t="str">
        <f>IF(A28="","",IF(I28&lt;=0,"Sold out",IF(K28&gt;=Inputs!$B$18,"Dead",IF(K28&gt;=Inputs!$B$17,"Ageing",IF(K28&gt;=Inputs!$B$16,"Watch","Fresh")))))</f>
        <v/>
      </c>
      <c r="M28" s="5" t="str">
        <f t="shared" si="2"/>
        <v/>
      </c>
      <c r="N28" s="12" t="str">
        <f t="shared" si="3"/>
        <v/>
      </c>
      <c r="O28" s="36" t="str">
        <f t="shared" si="4"/>
        <v/>
      </c>
    </row>
    <row r="29" spans="1:15" x14ac:dyDescent="0.25">
      <c r="A29" s="34"/>
      <c r="B29" s="33"/>
      <c r="C29" s="34"/>
      <c r="D29" s="34"/>
      <c r="E29" s="34"/>
      <c r="F29" s="34"/>
      <c r="G29" s="35"/>
      <c r="H29" s="34"/>
      <c r="I29" s="5" t="str">
        <f t="shared" si="0"/>
        <v/>
      </c>
      <c r="J29" s="12" t="str">
        <f t="shared" si="1"/>
        <v/>
      </c>
      <c r="K29" s="37" t="str">
        <f>IF(A29="","",Inputs!$B$11-B29)</f>
        <v/>
      </c>
      <c r="L29" s="5" t="str">
        <f>IF(A29="","",IF(I29&lt;=0,"Sold out",IF(K29&gt;=Inputs!$B$18,"Dead",IF(K29&gt;=Inputs!$B$17,"Ageing",IF(K29&gt;=Inputs!$B$16,"Watch","Fresh")))))</f>
        <v/>
      </c>
      <c r="M29" s="5" t="str">
        <f t="shared" si="2"/>
        <v/>
      </c>
      <c r="N29" s="12" t="str">
        <f t="shared" si="3"/>
        <v/>
      </c>
      <c r="O29" s="36" t="str">
        <f t="shared" si="4"/>
        <v/>
      </c>
    </row>
    <row r="30" spans="1:15" x14ac:dyDescent="0.25">
      <c r="A30" s="34"/>
      <c r="B30" s="33"/>
      <c r="C30" s="34"/>
      <c r="D30" s="34"/>
      <c r="E30" s="34"/>
      <c r="F30" s="34"/>
      <c r="G30" s="35"/>
      <c r="H30" s="34"/>
      <c r="I30" s="5" t="str">
        <f t="shared" si="0"/>
        <v/>
      </c>
      <c r="J30" s="12" t="str">
        <f t="shared" si="1"/>
        <v/>
      </c>
      <c r="K30" s="37" t="str">
        <f>IF(A30="","",Inputs!$B$11-B30)</f>
        <v/>
      </c>
      <c r="L30" s="5" t="str">
        <f>IF(A30="","",IF(I30&lt;=0,"Sold out",IF(K30&gt;=Inputs!$B$18,"Dead",IF(K30&gt;=Inputs!$B$17,"Ageing",IF(K30&gt;=Inputs!$B$16,"Watch","Fresh")))))</f>
        <v/>
      </c>
      <c r="M30" s="5" t="str">
        <f t="shared" si="2"/>
        <v/>
      </c>
      <c r="N30" s="12" t="str">
        <f t="shared" si="3"/>
        <v/>
      </c>
      <c r="O30" s="36" t="str">
        <f t="shared" si="4"/>
        <v/>
      </c>
    </row>
    <row r="31" spans="1:15" x14ac:dyDescent="0.25">
      <c r="A31" s="34"/>
      <c r="B31" s="33"/>
      <c r="C31" s="34"/>
      <c r="D31" s="34"/>
      <c r="E31" s="34"/>
      <c r="F31" s="34"/>
      <c r="G31" s="35"/>
      <c r="H31" s="34"/>
      <c r="I31" s="5" t="str">
        <f t="shared" si="0"/>
        <v/>
      </c>
      <c r="J31" s="12" t="str">
        <f t="shared" si="1"/>
        <v/>
      </c>
      <c r="K31" s="37" t="str">
        <f>IF(A31="","",Inputs!$B$11-B31)</f>
        <v/>
      </c>
      <c r="L31" s="5" t="str">
        <f>IF(A31="","",IF(I31&lt;=0,"Sold out",IF(K31&gt;=Inputs!$B$18,"Dead",IF(K31&gt;=Inputs!$B$17,"Ageing",IF(K31&gt;=Inputs!$B$16,"Watch","Fresh")))))</f>
        <v/>
      </c>
      <c r="M31" s="5" t="str">
        <f t="shared" si="2"/>
        <v/>
      </c>
      <c r="N31" s="12" t="str">
        <f t="shared" si="3"/>
        <v/>
      </c>
      <c r="O31" s="36" t="str">
        <f t="shared" si="4"/>
        <v/>
      </c>
    </row>
    <row r="32" spans="1:15" x14ac:dyDescent="0.25">
      <c r="A32" s="34"/>
      <c r="B32" s="33"/>
      <c r="C32" s="34"/>
      <c r="D32" s="34"/>
      <c r="E32" s="34"/>
      <c r="F32" s="34"/>
      <c r="G32" s="35"/>
      <c r="H32" s="34"/>
      <c r="I32" s="5" t="str">
        <f t="shared" si="0"/>
        <v/>
      </c>
      <c r="J32" s="12" t="str">
        <f t="shared" si="1"/>
        <v/>
      </c>
      <c r="K32" s="37" t="str">
        <f>IF(A32="","",Inputs!$B$11-B32)</f>
        <v/>
      </c>
      <c r="L32" s="5" t="str">
        <f>IF(A32="","",IF(I32&lt;=0,"Sold out",IF(K32&gt;=Inputs!$B$18,"Dead",IF(K32&gt;=Inputs!$B$17,"Ageing",IF(K32&gt;=Inputs!$B$16,"Watch","Fresh")))))</f>
        <v/>
      </c>
      <c r="M32" s="5" t="str">
        <f t="shared" si="2"/>
        <v/>
      </c>
      <c r="N32" s="12" t="str">
        <f t="shared" si="3"/>
        <v/>
      </c>
      <c r="O32" s="36" t="str">
        <f t="shared" si="4"/>
        <v/>
      </c>
    </row>
    <row r="33" spans="1:15" x14ac:dyDescent="0.25">
      <c r="A33" s="34"/>
      <c r="B33" s="33"/>
      <c r="C33" s="34"/>
      <c r="D33" s="34"/>
      <c r="E33" s="34"/>
      <c r="F33" s="34"/>
      <c r="G33" s="35"/>
      <c r="H33" s="34"/>
      <c r="I33" s="5" t="str">
        <f t="shared" si="0"/>
        <v/>
      </c>
      <c r="J33" s="12" t="str">
        <f t="shared" si="1"/>
        <v/>
      </c>
      <c r="K33" s="37" t="str">
        <f>IF(A33="","",Inputs!$B$11-B33)</f>
        <v/>
      </c>
      <c r="L33" s="5" t="str">
        <f>IF(A33="","",IF(I33&lt;=0,"Sold out",IF(K33&gt;=Inputs!$B$18,"Dead",IF(K33&gt;=Inputs!$B$17,"Ageing",IF(K33&gt;=Inputs!$B$16,"Watch","Fresh")))))</f>
        <v/>
      </c>
      <c r="M33" s="5" t="str">
        <f t="shared" si="2"/>
        <v/>
      </c>
      <c r="N33" s="12" t="str">
        <f t="shared" si="3"/>
        <v/>
      </c>
      <c r="O33" s="36" t="str">
        <f t="shared" si="4"/>
        <v/>
      </c>
    </row>
    <row r="34" spans="1:15" x14ac:dyDescent="0.25">
      <c r="A34" s="34"/>
      <c r="B34" s="33"/>
      <c r="C34" s="34"/>
      <c r="D34" s="34"/>
      <c r="E34" s="34"/>
      <c r="F34" s="34"/>
      <c r="G34" s="35"/>
      <c r="H34" s="34"/>
      <c r="I34" s="5" t="str">
        <f t="shared" si="0"/>
        <v/>
      </c>
      <c r="J34" s="12" t="str">
        <f t="shared" si="1"/>
        <v/>
      </c>
      <c r="K34" s="37" t="str">
        <f>IF(A34="","",Inputs!$B$11-B34)</f>
        <v/>
      </c>
      <c r="L34" s="5" t="str">
        <f>IF(A34="","",IF(I34&lt;=0,"Sold out",IF(K34&gt;=Inputs!$B$18,"Dead",IF(K34&gt;=Inputs!$B$17,"Ageing",IF(K34&gt;=Inputs!$B$16,"Watch","Fresh")))))</f>
        <v/>
      </c>
      <c r="M34" s="5" t="str">
        <f t="shared" si="2"/>
        <v/>
      </c>
      <c r="N34" s="12" t="str">
        <f t="shared" si="3"/>
        <v/>
      </c>
      <c r="O34" s="36" t="str">
        <f t="shared" si="4"/>
        <v/>
      </c>
    </row>
    <row r="35" spans="1:15" x14ac:dyDescent="0.25">
      <c r="A35" s="34"/>
      <c r="B35" s="33"/>
      <c r="C35" s="34"/>
      <c r="D35" s="34"/>
      <c r="E35" s="34"/>
      <c r="F35" s="34"/>
      <c r="G35" s="35"/>
      <c r="H35" s="34"/>
      <c r="I35" s="5" t="str">
        <f t="shared" si="0"/>
        <v/>
      </c>
      <c r="J35" s="12" t="str">
        <f t="shared" si="1"/>
        <v/>
      </c>
      <c r="K35" s="37" t="str">
        <f>IF(A35="","",Inputs!$B$11-B35)</f>
        <v/>
      </c>
      <c r="L35" s="5" t="str">
        <f>IF(A35="","",IF(I35&lt;=0,"Sold out",IF(K35&gt;=Inputs!$B$18,"Dead",IF(K35&gt;=Inputs!$B$17,"Ageing",IF(K35&gt;=Inputs!$B$16,"Watch","Fresh")))))</f>
        <v/>
      </c>
      <c r="M35" s="5" t="str">
        <f t="shared" si="2"/>
        <v/>
      </c>
      <c r="N35" s="12" t="str">
        <f t="shared" si="3"/>
        <v/>
      </c>
      <c r="O35" s="36" t="str">
        <f t="shared" si="4"/>
        <v/>
      </c>
    </row>
    <row r="36" spans="1:15" x14ac:dyDescent="0.25">
      <c r="A36" s="34"/>
      <c r="B36" s="33"/>
      <c r="C36" s="34"/>
      <c r="D36" s="34"/>
      <c r="E36" s="34"/>
      <c r="F36" s="34"/>
      <c r="G36" s="35"/>
      <c r="H36" s="34"/>
      <c r="I36" s="5" t="str">
        <f t="shared" si="0"/>
        <v/>
      </c>
      <c r="J36" s="12" t="str">
        <f t="shared" si="1"/>
        <v/>
      </c>
      <c r="K36" s="37" t="str">
        <f>IF(A36="","",Inputs!$B$11-B36)</f>
        <v/>
      </c>
      <c r="L36" s="5" t="str">
        <f>IF(A36="","",IF(I36&lt;=0,"Sold out",IF(K36&gt;=Inputs!$B$18,"Dead",IF(K36&gt;=Inputs!$B$17,"Ageing",IF(K36&gt;=Inputs!$B$16,"Watch","Fresh")))))</f>
        <v/>
      </c>
      <c r="M36" s="5" t="str">
        <f t="shared" si="2"/>
        <v/>
      </c>
      <c r="N36" s="12" t="str">
        <f t="shared" si="3"/>
        <v/>
      </c>
      <c r="O36" s="36" t="str">
        <f t="shared" si="4"/>
        <v/>
      </c>
    </row>
    <row r="37" spans="1:15" x14ac:dyDescent="0.25">
      <c r="A37" s="34"/>
      <c r="B37" s="33"/>
      <c r="C37" s="34"/>
      <c r="D37" s="34"/>
      <c r="E37" s="34"/>
      <c r="F37" s="34"/>
      <c r="G37" s="35"/>
      <c r="H37" s="34"/>
      <c r="I37" s="5" t="str">
        <f t="shared" si="0"/>
        <v/>
      </c>
      <c r="J37" s="12" t="str">
        <f t="shared" si="1"/>
        <v/>
      </c>
      <c r="K37" s="37" t="str">
        <f>IF(A37="","",Inputs!$B$11-B37)</f>
        <v/>
      </c>
      <c r="L37" s="5" t="str">
        <f>IF(A37="","",IF(I37&lt;=0,"Sold out",IF(K37&gt;=Inputs!$B$18,"Dead",IF(K37&gt;=Inputs!$B$17,"Ageing",IF(K37&gt;=Inputs!$B$16,"Watch","Fresh")))))</f>
        <v/>
      </c>
      <c r="M37" s="5" t="str">
        <f t="shared" si="2"/>
        <v/>
      </c>
      <c r="N37" s="12" t="str">
        <f t="shared" si="3"/>
        <v/>
      </c>
      <c r="O37" s="36" t="str">
        <f t="shared" si="4"/>
        <v/>
      </c>
    </row>
    <row r="38" spans="1:15" x14ac:dyDescent="0.25">
      <c r="A38" s="34"/>
      <c r="B38" s="33"/>
      <c r="C38" s="34"/>
      <c r="D38" s="34"/>
      <c r="E38" s="34"/>
      <c r="F38" s="34"/>
      <c r="G38" s="35"/>
      <c r="H38" s="34"/>
      <c r="I38" s="5" t="str">
        <f t="shared" si="0"/>
        <v/>
      </c>
      <c r="J38" s="12" t="str">
        <f t="shared" si="1"/>
        <v/>
      </c>
      <c r="K38" s="37" t="str">
        <f>IF(A38="","",Inputs!$B$11-B38)</f>
        <v/>
      </c>
      <c r="L38" s="5" t="str">
        <f>IF(A38="","",IF(I38&lt;=0,"Sold out",IF(K38&gt;=Inputs!$B$18,"Dead",IF(K38&gt;=Inputs!$B$17,"Ageing",IF(K38&gt;=Inputs!$B$16,"Watch","Fresh")))))</f>
        <v/>
      </c>
      <c r="M38" s="5" t="str">
        <f t="shared" si="2"/>
        <v/>
      </c>
      <c r="N38" s="12" t="str">
        <f t="shared" si="3"/>
        <v/>
      </c>
      <c r="O38" s="36" t="str">
        <f t="shared" si="4"/>
        <v/>
      </c>
    </row>
    <row r="39" spans="1:15" x14ac:dyDescent="0.25">
      <c r="A39" s="34"/>
      <c r="B39" s="33"/>
      <c r="C39" s="34"/>
      <c r="D39" s="34"/>
      <c r="E39" s="34"/>
      <c r="F39" s="34"/>
      <c r="G39" s="35"/>
      <c r="H39" s="34"/>
      <c r="I39" s="5" t="str">
        <f t="shared" si="0"/>
        <v/>
      </c>
      <c r="J39" s="12" t="str">
        <f t="shared" si="1"/>
        <v/>
      </c>
      <c r="K39" s="37" t="str">
        <f>IF(A39="","",Inputs!$B$11-B39)</f>
        <v/>
      </c>
      <c r="L39" s="5" t="str">
        <f>IF(A39="","",IF(I39&lt;=0,"Sold out",IF(K39&gt;=Inputs!$B$18,"Dead",IF(K39&gt;=Inputs!$B$17,"Ageing",IF(K39&gt;=Inputs!$B$16,"Watch","Fresh")))))</f>
        <v/>
      </c>
      <c r="M39" s="5" t="str">
        <f t="shared" si="2"/>
        <v/>
      </c>
      <c r="N39" s="12" t="str">
        <f t="shared" si="3"/>
        <v/>
      </c>
      <c r="O39" s="36" t="str">
        <f t="shared" si="4"/>
        <v/>
      </c>
    </row>
    <row r="40" spans="1:15" x14ac:dyDescent="0.25">
      <c r="A40" s="34"/>
      <c r="B40" s="33"/>
      <c r="C40" s="34"/>
      <c r="D40" s="34"/>
      <c r="E40" s="34"/>
      <c r="F40" s="34"/>
      <c r="G40" s="35"/>
      <c r="H40" s="34"/>
      <c r="I40" s="5" t="str">
        <f t="shared" si="0"/>
        <v/>
      </c>
      <c r="J40" s="12" t="str">
        <f t="shared" si="1"/>
        <v/>
      </c>
      <c r="K40" s="37" t="str">
        <f>IF(A40="","",Inputs!$B$11-B40)</f>
        <v/>
      </c>
      <c r="L40" s="5" t="str">
        <f>IF(A40="","",IF(I40&lt;=0,"Sold out",IF(K40&gt;=Inputs!$B$18,"Dead",IF(K40&gt;=Inputs!$B$17,"Ageing",IF(K40&gt;=Inputs!$B$16,"Watch","Fresh")))))</f>
        <v/>
      </c>
      <c r="M40" s="5" t="str">
        <f t="shared" si="2"/>
        <v/>
      </c>
      <c r="N40" s="12" t="str">
        <f t="shared" si="3"/>
        <v/>
      </c>
      <c r="O40" s="36" t="str">
        <f t="shared" si="4"/>
        <v/>
      </c>
    </row>
    <row r="41" spans="1:15" x14ac:dyDescent="0.25">
      <c r="A41" s="34"/>
      <c r="B41" s="33"/>
      <c r="C41" s="34"/>
      <c r="D41" s="34"/>
      <c r="E41" s="34"/>
      <c r="F41" s="34"/>
      <c r="G41" s="35"/>
      <c r="H41" s="34"/>
      <c r="I41" s="5" t="str">
        <f t="shared" si="0"/>
        <v/>
      </c>
      <c r="J41" s="12" t="str">
        <f t="shared" si="1"/>
        <v/>
      </c>
      <c r="K41" s="37" t="str">
        <f>IF(A41="","",Inputs!$B$11-B41)</f>
        <v/>
      </c>
      <c r="L41" s="5" t="str">
        <f>IF(A41="","",IF(I41&lt;=0,"Sold out",IF(K41&gt;=Inputs!$B$18,"Dead",IF(K41&gt;=Inputs!$B$17,"Ageing",IF(K41&gt;=Inputs!$B$16,"Watch","Fresh")))))</f>
        <v/>
      </c>
      <c r="M41" s="5" t="str">
        <f t="shared" si="2"/>
        <v/>
      </c>
      <c r="N41" s="12" t="str">
        <f t="shared" si="3"/>
        <v/>
      </c>
      <c r="O41" s="36" t="str">
        <f t="shared" si="4"/>
        <v/>
      </c>
    </row>
    <row r="42" spans="1:15" x14ac:dyDescent="0.25">
      <c r="A42" s="34"/>
      <c r="B42" s="33"/>
      <c r="C42" s="34"/>
      <c r="D42" s="34"/>
      <c r="E42" s="34"/>
      <c r="F42" s="34"/>
      <c r="G42" s="35"/>
      <c r="H42" s="34"/>
      <c r="I42" s="5" t="str">
        <f t="shared" si="0"/>
        <v/>
      </c>
      <c r="J42" s="12" t="str">
        <f t="shared" si="1"/>
        <v/>
      </c>
      <c r="K42" s="37" t="str">
        <f>IF(A42="","",Inputs!$B$11-B42)</f>
        <v/>
      </c>
      <c r="L42" s="5" t="str">
        <f>IF(A42="","",IF(I42&lt;=0,"Sold out",IF(K42&gt;=Inputs!$B$18,"Dead",IF(K42&gt;=Inputs!$B$17,"Ageing",IF(K42&gt;=Inputs!$B$16,"Watch","Fresh")))))</f>
        <v/>
      </c>
      <c r="M42" s="5" t="str">
        <f t="shared" si="2"/>
        <v/>
      </c>
      <c r="N42" s="12" t="str">
        <f t="shared" si="3"/>
        <v/>
      </c>
      <c r="O42" s="36" t="str">
        <f t="shared" si="4"/>
        <v/>
      </c>
    </row>
    <row r="43" spans="1:15" x14ac:dyDescent="0.25">
      <c r="A43" s="34"/>
      <c r="B43" s="33"/>
      <c r="C43" s="34"/>
      <c r="D43" s="34"/>
      <c r="E43" s="34"/>
      <c r="F43" s="34"/>
      <c r="G43" s="35"/>
      <c r="H43" s="34"/>
      <c r="I43" s="5" t="str">
        <f t="shared" si="0"/>
        <v/>
      </c>
      <c r="J43" s="12" t="str">
        <f t="shared" si="1"/>
        <v/>
      </c>
      <c r="K43" s="37" t="str">
        <f>IF(A43="","",Inputs!$B$11-B43)</f>
        <v/>
      </c>
      <c r="L43" s="5" t="str">
        <f>IF(A43="","",IF(I43&lt;=0,"Sold out",IF(K43&gt;=Inputs!$B$18,"Dead",IF(K43&gt;=Inputs!$B$17,"Ageing",IF(K43&gt;=Inputs!$B$16,"Watch","Fresh")))))</f>
        <v/>
      </c>
      <c r="M43" s="5" t="str">
        <f t="shared" si="2"/>
        <v/>
      </c>
      <c r="N43" s="12" t="str">
        <f t="shared" si="3"/>
        <v/>
      </c>
      <c r="O43" s="36" t="str">
        <f t="shared" si="4"/>
        <v/>
      </c>
    </row>
    <row r="44" spans="1:15" x14ac:dyDescent="0.25">
      <c r="A44" s="34"/>
      <c r="B44" s="33"/>
      <c r="C44" s="34"/>
      <c r="D44" s="34"/>
      <c r="E44" s="34"/>
      <c r="F44" s="34"/>
      <c r="G44" s="35"/>
      <c r="H44" s="34"/>
      <c r="I44" s="5" t="str">
        <f t="shared" si="0"/>
        <v/>
      </c>
      <c r="J44" s="12" t="str">
        <f t="shared" si="1"/>
        <v/>
      </c>
      <c r="K44" s="37" t="str">
        <f>IF(A44="","",Inputs!$B$11-B44)</f>
        <v/>
      </c>
      <c r="L44" s="5" t="str">
        <f>IF(A44="","",IF(I44&lt;=0,"Sold out",IF(K44&gt;=Inputs!$B$18,"Dead",IF(K44&gt;=Inputs!$B$17,"Ageing",IF(K44&gt;=Inputs!$B$16,"Watch","Fresh")))))</f>
        <v/>
      </c>
      <c r="M44" s="5" t="str">
        <f t="shared" si="2"/>
        <v/>
      </c>
      <c r="N44" s="12" t="str">
        <f t="shared" si="3"/>
        <v/>
      </c>
      <c r="O44" s="36" t="str">
        <f t="shared" si="4"/>
        <v/>
      </c>
    </row>
    <row r="45" spans="1:15" x14ac:dyDescent="0.25">
      <c r="A45" s="34"/>
      <c r="B45" s="33"/>
      <c r="C45" s="34"/>
      <c r="D45" s="34"/>
      <c r="E45" s="34"/>
      <c r="F45" s="34"/>
      <c r="G45" s="35"/>
      <c r="H45" s="34"/>
      <c r="I45" s="5" t="str">
        <f t="shared" si="0"/>
        <v/>
      </c>
      <c r="J45" s="12" t="str">
        <f t="shared" si="1"/>
        <v/>
      </c>
      <c r="K45" s="37" t="str">
        <f>IF(A45="","",Inputs!$B$11-B45)</f>
        <v/>
      </c>
      <c r="L45" s="5" t="str">
        <f>IF(A45="","",IF(I45&lt;=0,"Sold out",IF(K45&gt;=Inputs!$B$18,"Dead",IF(K45&gt;=Inputs!$B$17,"Ageing",IF(K45&gt;=Inputs!$B$16,"Watch","Fresh")))))</f>
        <v/>
      </c>
      <c r="M45" s="5" t="str">
        <f t="shared" si="2"/>
        <v/>
      </c>
      <c r="N45" s="12" t="str">
        <f t="shared" si="3"/>
        <v/>
      </c>
      <c r="O45" s="36" t="str">
        <f t="shared" si="4"/>
        <v/>
      </c>
    </row>
    <row r="46" spans="1:15" x14ac:dyDescent="0.25">
      <c r="A46" s="34"/>
      <c r="B46" s="33"/>
      <c r="C46" s="34"/>
      <c r="D46" s="34"/>
      <c r="E46" s="34"/>
      <c r="F46" s="34"/>
      <c r="G46" s="35"/>
      <c r="H46" s="34"/>
      <c r="I46" s="5" t="str">
        <f t="shared" si="0"/>
        <v/>
      </c>
      <c r="J46" s="12" t="str">
        <f t="shared" si="1"/>
        <v/>
      </c>
      <c r="K46" s="37" t="str">
        <f>IF(A46="","",Inputs!$B$11-B46)</f>
        <v/>
      </c>
      <c r="L46" s="5" t="str">
        <f>IF(A46="","",IF(I46&lt;=0,"Sold out",IF(K46&gt;=Inputs!$B$18,"Dead",IF(K46&gt;=Inputs!$B$17,"Ageing",IF(K46&gt;=Inputs!$B$16,"Watch","Fresh")))))</f>
        <v/>
      </c>
      <c r="M46" s="5" t="str">
        <f t="shared" si="2"/>
        <v/>
      </c>
      <c r="N46" s="12" t="str">
        <f t="shared" si="3"/>
        <v/>
      </c>
      <c r="O46" s="36" t="str">
        <f t="shared" si="4"/>
        <v/>
      </c>
    </row>
    <row r="47" spans="1:15" x14ac:dyDescent="0.25">
      <c r="A47" s="34"/>
      <c r="B47" s="33"/>
      <c r="C47" s="34"/>
      <c r="D47" s="34"/>
      <c r="E47" s="34"/>
      <c r="F47" s="34"/>
      <c r="G47" s="35"/>
      <c r="H47" s="34"/>
      <c r="I47" s="5" t="str">
        <f t="shared" si="0"/>
        <v/>
      </c>
      <c r="J47" s="12" t="str">
        <f t="shared" si="1"/>
        <v/>
      </c>
      <c r="K47" s="37" t="str">
        <f>IF(A47="","",Inputs!$B$11-B47)</f>
        <v/>
      </c>
      <c r="L47" s="5" t="str">
        <f>IF(A47="","",IF(I47&lt;=0,"Sold out",IF(K47&gt;=Inputs!$B$18,"Dead",IF(K47&gt;=Inputs!$B$17,"Ageing",IF(K47&gt;=Inputs!$B$16,"Watch","Fresh")))))</f>
        <v/>
      </c>
      <c r="M47" s="5" t="str">
        <f t="shared" si="2"/>
        <v/>
      </c>
      <c r="N47" s="12" t="str">
        <f t="shared" si="3"/>
        <v/>
      </c>
      <c r="O47" s="36" t="str">
        <f t="shared" si="4"/>
        <v/>
      </c>
    </row>
    <row r="48" spans="1:15" x14ac:dyDescent="0.25">
      <c r="A48" s="34"/>
      <c r="B48" s="33"/>
      <c r="C48" s="34"/>
      <c r="D48" s="34"/>
      <c r="E48" s="34"/>
      <c r="F48" s="34"/>
      <c r="G48" s="35"/>
      <c r="H48" s="34"/>
      <c r="I48" s="5" t="str">
        <f t="shared" si="0"/>
        <v/>
      </c>
      <c r="J48" s="12" t="str">
        <f t="shared" si="1"/>
        <v/>
      </c>
      <c r="K48" s="37" t="str">
        <f>IF(A48="","",Inputs!$B$11-B48)</f>
        <v/>
      </c>
      <c r="L48" s="5" t="str">
        <f>IF(A48="","",IF(I48&lt;=0,"Sold out",IF(K48&gt;=Inputs!$B$18,"Dead",IF(K48&gt;=Inputs!$B$17,"Ageing",IF(K48&gt;=Inputs!$B$16,"Watch","Fresh")))))</f>
        <v/>
      </c>
      <c r="M48" s="5" t="str">
        <f t="shared" si="2"/>
        <v/>
      </c>
      <c r="N48" s="12" t="str">
        <f t="shared" si="3"/>
        <v/>
      </c>
      <c r="O48" s="36" t="str">
        <f t="shared" si="4"/>
        <v/>
      </c>
    </row>
    <row r="49" spans="1:15" x14ac:dyDescent="0.25">
      <c r="A49" s="34"/>
      <c r="B49" s="33"/>
      <c r="C49" s="34"/>
      <c r="D49" s="34"/>
      <c r="E49" s="34"/>
      <c r="F49" s="34"/>
      <c r="G49" s="35"/>
      <c r="H49" s="34"/>
      <c r="I49" s="5" t="str">
        <f t="shared" si="0"/>
        <v/>
      </c>
      <c r="J49" s="12" t="str">
        <f t="shared" si="1"/>
        <v/>
      </c>
      <c r="K49" s="37" t="str">
        <f>IF(A49="","",Inputs!$B$11-B49)</f>
        <v/>
      </c>
      <c r="L49" s="5" t="str">
        <f>IF(A49="","",IF(I49&lt;=0,"Sold out",IF(K49&gt;=Inputs!$B$18,"Dead",IF(K49&gt;=Inputs!$B$17,"Ageing",IF(K49&gt;=Inputs!$B$16,"Watch","Fresh")))))</f>
        <v/>
      </c>
      <c r="M49" s="5" t="str">
        <f t="shared" si="2"/>
        <v/>
      </c>
      <c r="N49" s="12" t="str">
        <f t="shared" si="3"/>
        <v/>
      </c>
      <c r="O49" s="36" t="str">
        <f t="shared" si="4"/>
        <v/>
      </c>
    </row>
    <row r="50" spans="1:15" x14ac:dyDescent="0.25">
      <c r="A50" s="34"/>
      <c r="B50" s="33"/>
      <c r="C50" s="34"/>
      <c r="D50" s="34"/>
      <c r="E50" s="34"/>
      <c r="F50" s="34"/>
      <c r="G50" s="35"/>
      <c r="H50" s="34"/>
      <c r="I50" s="5" t="str">
        <f t="shared" si="0"/>
        <v/>
      </c>
      <c r="J50" s="12" t="str">
        <f t="shared" si="1"/>
        <v/>
      </c>
      <c r="K50" s="37" t="str">
        <f>IF(A50="","",Inputs!$B$11-B50)</f>
        <v/>
      </c>
      <c r="L50" s="5" t="str">
        <f>IF(A50="","",IF(I50&lt;=0,"Sold out",IF(K50&gt;=Inputs!$B$18,"Dead",IF(K50&gt;=Inputs!$B$17,"Ageing",IF(K50&gt;=Inputs!$B$16,"Watch","Fresh")))))</f>
        <v/>
      </c>
      <c r="M50" s="5" t="str">
        <f t="shared" si="2"/>
        <v/>
      </c>
      <c r="N50" s="12" t="str">
        <f t="shared" si="3"/>
        <v/>
      </c>
      <c r="O50" s="36" t="str">
        <f t="shared" si="4"/>
        <v/>
      </c>
    </row>
    <row r="51" spans="1:15" x14ac:dyDescent="0.25">
      <c r="A51" s="34"/>
      <c r="B51" s="33"/>
      <c r="C51" s="34"/>
      <c r="D51" s="34"/>
      <c r="E51" s="34"/>
      <c r="F51" s="34"/>
      <c r="G51" s="35"/>
      <c r="H51" s="34"/>
      <c r="I51" s="5" t="str">
        <f t="shared" si="0"/>
        <v/>
      </c>
      <c r="J51" s="12" t="str">
        <f t="shared" si="1"/>
        <v/>
      </c>
      <c r="K51" s="37" t="str">
        <f>IF(A51="","",Inputs!$B$11-B51)</f>
        <v/>
      </c>
      <c r="L51" s="5" t="str">
        <f>IF(A51="","",IF(I51&lt;=0,"Sold out",IF(K51&gt;=Inputs!$B$18,"Dead",IF(K51&gt;=Inputs!$B$17,"Ageing",IF(K51&gt;=Inputs!$B$16,"Watch","Fresh")))))</f>
        <v/>
      </c>
      <c r="M51" s="5" t="str">
        <f t="shared" si="2"/>
        <v/>
      </c>
      <c r="N51" s="12" t="str">
        <f t="shared" si="3"/>
        <v/>
      </c>
      <c r="O51" s="36" t="str">
        <f t="shared" si="4"/>
        <v/>
      </c>
    </row>
    <row r="52" spans="1:15" x14ac:dyDescent="0.25">
      <c r="A52" s="34"/>
      <c r="B52" s="33"/>
      <c r="C52" s="34"/>
      <c r="D52" s="34"/>
      <c r="E52" s="34"/>
      <c r="F52" s="34"/>
      <c r="G52" s="35"/>
      <c r="H52" s="34"/>
      <c r="I52" s="5" t="str">
        <f t="shared" si="0"/>
        <v/>
      </c>
      <c r="J52" s="12" t="str">
        <f t="shared" si="1"/>
        <v/>
      </c>
      <c r="K52" s="37" t="str">
        <f>IF(A52="","",Inputs!$B$11-B52)</f>
        <v/>
      </c>
      <c r="L52" s="5" t="str">
        <f>IF(A52="","",IF(I52&lt;=0,"Sold out",IF(K52&gt;=Inputs!$B$18,"Dead",IF(K52&gt;=Inputs!$B$17,"Ageing",IF(K52&gt;=Inputs!$B$16,"Watch","Fresh")))))</f>
        <v/>
      </c>
      <c r="M52" s="5" t="str">
        <f t="shared" si="2"/>
        <v/>
      </c>
      <c r="N52" s="12" t="str">
        <f t="shared" si="3"/>
        <v/>
      </c>
      <c r="O52" s="36" t="str">
        <f t="shared" si="4"/>
        <v/>
      </c>
    </row>
    <row r="53" spans="1:15" x14ac:dyDescent="0.25">
      <c r="A53" s="34"/>
      <c r="B53" s="33"/>
      <c r="C53" s="34"/>
      <c r="D53" s="34"/>
      <c r="E53" s="34"/>
      <c r="F53" s="34"/>
      <c r="G53" s="35"/>
      <c r="H53" s="34"/>
      <c r="I53" s="5" t="str">
        <f t="shared" si="0"/>
        <v/>
      </c>
      <c r="J53" s="12" t="str">
        <f t="shared" si="1"/>
        <v/>
      </c>
      <c r="K53" s="37" t="str">
        <f>IF(A53="","",Inputs!$B$11-B53)</f>
        <v/>
      </c>
      <c r="L53" s="5" t="str">
        <f>IF(A53="","",IF(I53&lt;=0,"Sold out",IF(K53&gt;=Inputs!$B$18,"Dead",IF(K53&gt;=Inputs!$B$17,"Ageing",IF(K53&gt;=Inputs!$B$16,"Watch","Fresh")))))</f>
        <v/>
      </c>
      <c r="M53" s="5" t="str">
        <f t="shared" si="2"/>
        <v/>
      </c>
      <c r="N53" s="12" t="str">
        <f t="shared" si="3"/>
        <v/>
      </c>
      <c r="O53" s="36" t="str">
        <f t="shared" si="4"/>
        <v/>
      </c>
    </row>
    <row r="54" spans="1:15" x14ac:dyDescent="0.25">
      <c r="A54" s="34"/>
      <c r="B54" s="33"/>
      <c r="C54" s="34"/>
      <c r="D54" s="34"/>
      <c r="E54" s="34"/>
      <c r="F54" s="34"/>
      <c r="G54" s="35"/>
      <c r="H54" s="34"/>
      <c r="I54" s="5" t="str">
        <f t="shared" si="0"/>
        <v/>
      </c>
      <c r="J54" s="12" t="str">
        <f t="shared" si="1"/>
        <v/>
      </c>
      <c r="K54" s="37" t="str">
        <f>IF(A54="","",Inputs!$B$11-B54)</f>
        <v/>
      </c>
      <c r="L54" s="5" t="str">
        <f>IF(A54="","",IF(I54&lt;=0,"Sold out",IF(K54&gt;=Inputs!$B$18,"Dead",IF(K54&gt;=Inputs!$B$17,"Ageing",IF(K54&gt;=Inputs!$B$16,"Watch","Fresh")))))</f>
        <v/>
      </c>
      <c r="M54" s="5" t="str">
        <f t="shared" si="2"/>
        <v/>
      </c>
      <c r="N54" s="12" t="str">
        <f t="shared" si="3"/>
        <v/>
      </c>
      <c r="O54" s="36" t="str">
        <f t="shared" si="4"/>
        <v/>
      </c>
    </row>
    <row r="55" spans="1:15" x14ac:dyDescent="0.25">
      <c r="A55" s="34"/>
      <c r="B55" s="33"/>
      <c r="C55" s="34"/>
      <c r="D55" s="34"/>
      <c r="E55" s="34"/>
      <c r="F55" s="34"/>
      <c r="G55" s="35"/>
      <c r="H55" s="34"/>
      <c r="I55" s="5" t="str">
        <f t="shared" si="0"/>
        <v/>
      </c>
      <c r="J55" s="12" t="str">
        <f t="shared" si="1"/>
        <v/>
      </c>
      <c r="K55" s="37" t="str">
        <f>IF(A55="","",Inputs!$B$11-B55)</f>
        <v/>
      </c>
      <c r="L55" s="5" t="str">
        <f>IF(A55="","",IF(I55&lt;=0,"Sold out",IF(K55&gt;=Inputs!$B$18,"Dead",IF(K55&gt;=Inputs!$B$17,"Ageing",IF(K55&gt;=Inputs!$B$16,"Watch","Fresh")))))</f>
        <v/>
      </c>
      <c r="M55" s="5" t="str">
        <f t="shared" si="2"/>
        <v/>
      </c>
      <c r="N55" s="12" t="str">
        <f t="shared" si="3"/>
        <v/>
      </c>
      <c r="O55" s="36" t="str">
        <f t="shared" si="4"/>
        <v/>
      </c>
    </row>
    <row r="56" spans="1:15" x14ac:dyDescent="0.25">
      <c r="A56" s="34"/>
      <c r="B56" s="33"/>
      <c r="C56" s="34"/>
      <c r="D56" s="34"/>
      <c r="E56" s="34"/>
      <c r="F56" s="34"/>
      <c r="G56" s="35"/>
      <c r="H56" s="34"/>
      <c r="I56" s="5" t="str">
        <f t="shared" si="0"/>
        <v/>
      </c>
      <c r="J56" s="12" t="str">
        <f t="shared" si="1"/>
        <v/>
      </c>
      <c r="K56" s="37" t="str">
        <f>IF(A56="","",Inputs!$B$11-B56)</f>
        <v/>
      </c>
      <c r="L56" s="5" t="str">
        <f>IF(A56="","",IF(I56&lt;=0,"Sold out",IF(K56&gt;=Inputs!$B$18,"Dead",IF(K56&gt;=Inputs!$B$17,"Ageing",IF(K56&gt;=Inputs!$B$16,"Watch","Fresh")))))</f>
        <v/>
      </c>
      <c r="M56" s="5" t="str">
        <f t="shared" si="2"/>
        <v/>
      </c>
      <c r="N56" s="12" t="str">
        <f t="shared" si="3"/>
        <v/>
      </c>
      <c r="O56" s="36" t="str">
        <f t="shared" si="4"/>
        <v/>
      </c>
    </row>
    <row r="57" spans="1:15" x14ac:dyDescent="0.25">
      <c r="A57" s="34"/>
      <c r="B57" s="33"/>
      <c r="C57" s="34"/>
      <c r="D57" s="34"/>
      <c r="E57" s="34"/>
      <c r="F57" s="34"/>
      <c r="G57" s="35"/>
      <c r="H57" s="34"/>
      <c r="I57" s="5" t="str">
        <f t="shared" si="0"/>
        <v/>
      </c>
      <c r="J57" s="12" t="str">
        <f t="shared" si="1"/>
        <v/>
      </c>
      <c r="K57" s="37" t="str">
        <f>IF(A57="","",Inputs!$B$11-B57)</f>
        <v/>
      </c>
      <c r="L57" s="5" t="str">
        <f>IF(A57="","",IF(I57&lt;=0,"Sold out",IF(K57&gt;=Inputs!$B$18,"Dead",IF(K57&gt;=Inputs!$B$17,"Ageing",IF(K57&gt;=Inputs!$B$16,"Watch","Fresh")))))</f>
        <v/>
      </c>
      <c r="M57" s="5" t="str">
        <f t="shared" si="2"/>
        <v/>
      </c>
      <c r="N57" s="12" t="str">
        <f t="shared" si="3"/>
        <v/>
      </c>
      <c r="O57" s="36" t="str">
        <f t="shared" si="4"/>
        <v/>
      </c>
    </row>
    <row r="58" spans="1:15" x14ac:dyDescent="0.25">
      <c r="A58" s="34"/>
      <c r="B58" s="33"/>
      <c r="C58" s="34"/>
      <c r="D58" s="34"/>
      <c r="E58" s="34"/>
      <c r="F58" s="34"/>
      <c r="G58" s="35"/>
      <c r="H58" s="34"/>
      <c r="I58" s="5" t="str">
        <f t="shared" si="0"/>
        <v/>
      </c>
      <c r="J58" s="12" t="str">
        <f t="shared" si="1"/>
        <v/>
      </c>
      <c r="K58" s="37" t="str">
        <f>IF(A58="","",Inputs!$B$11-B58)</f>
        <v/>
      </c>
      <c r="L58" s="5" t="str">
        <f>IF(A58="","",IF(I58&lt;=0,"Sold out",IF(K58&gt;=Inputs!$B$18,"Dead",IF(K58&gt;=Inputs!$B$17,"Ageing",IF(K58&gt;=Inputs!$B$16,"Watch","Fresh")))))</f>
        <v/>
      </c>
      <c r="M58" s="5" t="str">
        <f t="shared" si="2"/>
        <v/>
      </c>
      <c r="N58" s="12" t="str">
        <f t="shared" si="3"/>
        <v/>
      </c>
      <c r="O58" s="36" t="str">
        <f t="shared" si="4"/>
        <v/>
      </c>
    </row>
    <row r="59" spans="1:15" x14ac:dyDescent="0.25">
      <c r="A59" s="34"/>
      <c r="B59" s="33"/>
      <c r="C59" s="34"/>
      <c r="D59" s="34"/>
      <c r="E59" s="34"/>
      <c r="F59" s="34"/>
      <c r="G59" s="35"/>
      <c r="H59" s="34"/>
      <c r="I59" s="5" t="str">
        <f t="shared" si="0"/>
        <v/>
      </c>
      <c r="J59" s="12" t="str">
        <f t="shared" si="1"/>
        <v/>
      </c>
      <c r="K59" s="37" t="str">
        <f>IF(A59="","",Inputs!$B$11-B59)</f>
        <v/>
      </c>
      <c r="L59" s="5" t="str">
        <f>IF(A59="","",IF(I59&lt;=0,"Sold out",IF(K59&gt;=Inputs!$B$18,"Dead",IF(K59&gt;=Inputs!$B$17,"Ageing",IF(K59&gt;=Inputs!$B$16,"Watch","Fresh")))))</f>
        <v/>
      </c>
      <c r="M59" s="5" t="str">
        <f t="shared" si="2"/>
        <v/>
      </c>
      <c r="N59" s="12" t="str">
        <f t="shared" si="3"/>
        <v/>
      </c>
      <c r="O59" s="36" t="str">
        <f t="shared" si="4"/>
        <v/>
      </c>
    </row>
    <row r="60" spans="1:15" x14ac:dyDescent="0.25">
      <c r="A60" s="34"/>
      <c r="B60" s="33"/>
      <c r="C60" s="34"/>
      <c r="D60" s="34"/>
      <c r="E60" s="34"/>
      <c r="F60" s="34"/>
      <c r="G60" s="35"/>
      <c r="H60" s="34"/>
      <c r="I60" s="5" t="str">
        <f t="shared" si="0"/>
        <v/>
      </c>
      <c r="J60" s="12" t="str">
        <f t="shared" si="1"/>
        <v/>
      </c>
      <c r="K60" s="37" t="str">
        <f>IF(A60="","",Inputs!$B$11-B60)</f>
        <v/>
      </c>
      <c r="L60" s="5" t="str">
        <f>IF(A60="","",IF(I60&lt;=0,"Sold out",IF(K60&gt;=Inputs!$B$18,"Dead",IF(K60&gt;=Inputs!$B$17,"Ageing",IF(K60&gt;=Inputs!$B$16,"Watch","Fresh")))))</f>
        <v/>
      </c>
      <c r="M60" s="5" t="str">
        <f t="shared" si="2"/>
        <v/>
      </c>
      <c r="N60" s="12" t="str">
        <f t="shared" si="3"/>
        <v/>
      </c>
      <c r="O60" s="36" t="str">
        <f t="shared" si="4"/>
        <v/>
      </c>
    </row>
    <row r="61" spans="1:15" x14ac:dyDescent="0.25">
      <c r="A61" s="34"/>
      <c r="B61" s="33"/>
      <c r="C61" s="34"/>
      <c r="D61" s="34"/>
      <c r="E61" s="34"/>
      <c r="F61" s="34"/>
      <c r="G61" s="35"/>
      <c r="H61" s="34"/>
      <c r="I61" s="5" t="str">
        <f t="shared" si="0"/>
        <v/>
      </c>
      <c r="J61" s="12" t="str">
        <f t="shared" si="1"/>
        <v/>
      </c>
      <c r="K61" s="37" t="str">
        <f>IF(A61="","",Inputs!$B$11-B61)</f>
        <v/>
      </c>
      <c r="L61" s="5" t="str">
        <f>IF(A61="","",IF(I61&lt;=0,"Sold out",IF(K61&gt;=Inputs!$B$18,"Dead",IF(K61&gt;=Inputs!$B$17,"Ageing",IF(K61&gt;=Inputs!$B$16,"Watch","Fresh")))))</f>
        <v/>
      </c>
      <c r="M61" s="5" t="str">
        <f t="shared" si="2"/>
        <v/>
      </c>
      <c r="N61" s="12" t="str">
        <f t="shared" si="3"/>
        <v/>
      </c>
      <c r="O61" s="36" t="str">
        <f t="shared" si="4"/>
        <v/>
      </c>
    </row>
    <row r="62" spans="1:15" x14ac:dyDescent="0.25">
      <c r="A62" s="34"/>
      <c r="B62" s="33"/>
      <c r="C62" s="34"/>
      <c r="D62" s="34"/>
      <c r="E62" s="34"/>
      <c r="F62" s="34"/>
      <c r="G62" s="35"/>
      <c r="H62" s="34"/>
      <c r="I62" s="5" t="str">
        <f t="shared" si="0"/>
        <v/>
      </c>
      <c r="J62" s="12" t="str">
        <f t="shared" si="1"/>
        <v/>
      </c>
      <c r="K62" s="37" t="str">
        <f>IF(A62="","",Inputs!$B$11-B62)</f>
        <v/>
      </c>
      <c r="L62" s="5" t="str">
        <f>IF(A62="","",IF(I62&lt;=0,"Sold out",IF(K62&gt;=Inputs!$B$18,"Dead",IF(K62&gt;=Inputs!$B$17,"Ageing",IF(K62&gt;=Inputs!$B$16,"Watch","Fresh")))))</f>
        <v/>
      </c>
      <c r="M62" s="5" t="str">
        <f t="shared" si="2"/>
        <v/>
      </c>
      <c r="N62" s="12" t="str">
        <f t="shared" si="3"/>
        <v/>
      </c>
      <c r="O62" s="36" t="str">
        <f t="shared" si="4"/>
        <v/>
      </c>
    </row>
    <row r="63" spans="1:15" x14ac:dyDescent="0.25">
      <c r="A63" s="34"/>
      <c r="B63" s="33"/>
      <c r="C63" s="34"/>
      <c r="D63" s="34"/>
      <c r="E63" s="34"/>
      <c r="F63" s="34"/>
      <c r="G63" s="35"/>
      <c r="H63" s="34"/>
      <c r="I63" s="5" t="str">
        <f t="shared" si="0"/>
        <v/>
      </c>
      <c r="J63" s="12" t="str">
        <f t="shared" si="1"/>
        <v/>
      </c>
      <c r="K63" s="37" t="str">
        <f>IF(A63="","",Inputs!$B$11-B63)</f>
        <v/>
      </c>
      <c r="L63" s="5" t="str">
        <f>IF(A63="","",IF(I63&lt;=0,"Sold out",IF(K63&gt;=Inputs!$B$18,"Dead",IF(K63&gt;=Inputs!$B$17,"Ageing",IF(K63&gt;=Inputs!$B$16,"Watch","Fresh")))))</f>
        <v/>
      </c>
      <c r="M63" s="5" t="str">
        <f t="shared" si="2"/>
        <v/>
      </c>
      <c r="N63" s="12" t="str">
        <f t="shared" si="3"/>
        <v/>
      </c>
      <c r="O63" s="36" t="str">
        <f t="shared" si="4"/>
        <v/>
      </c>
    </row>
    <row r="64" spans="1:15" x14ac:dyDescent="0.25">
      <c r="A64" s="34"/>
      <c r="B64" s="33"/>
      <c r="C64" s="34"/>
      <c r="D64" s="34"/>
      <c r="E64" s="34"/>
      <c r="F64" s="34"/>
      <c r="G64" s="35"/>
      <c r="H64" s="34"/>
      <c r="I64" s="5" t="str">
        <f t="shared" si="0"/>
        <v/>
      </c>
      <c r="J64" s="12" t="str">
        <f t="shared" si="1"/>
        <v/>
      </c>
      <c r="K64" s="37" t="str">
        <f>IF(A64="","",Inputs!$B$11-B64)</f>
        <v/>
      </c>
      <c r="L64" s="5" t="str">
        <f>IF(A64="","",IF(I64&lt;=0,"Sold out",IF(K64&gt;=Inputs!$B$18,"Dead",IF(K64&gt;=Inputs!$B$17,"Ageing",IF(K64&gt;=Inputs!$B$16,"Watch","Fresh")))))</f>
        <v/>
      </c>
      <c r="M64" s="5" t="str">
        <f t="shared" si="2"/>
        <v/>
      </c>
      <c r="N64" s="12" t="str">
        <f t="shared" si="3"/>
        <v/>
      </c>
      <c r="O64" s="36" t="str">
        <f t="shared" si="4"/>
        <v/>
      </c>
    </row>
    <row r="65" spans="1:15" x14ac:dyDescent="0.25">
      <c r="A65" s="34"/>
      <c r="B65" s="33"/>
      <c r="C65" s="34"/>
      <c r="D65" s="34"/>
      <c r="E65" s="34"/>
      <c r="F65" s="34"/>
      <c r="G65" s="35"/>
      <c r="H65" s="34"/>
      <c r="I65" s="5" t="str">
        <f t="shared" si="0"/>
        <v/>
      </c>
      <c r="J65" s="12" t="str">
        <f t="shared" si="1"/>
        <v/>
      </c>
      <c r="K65" s="37" t="str">
        <f>IF(A65="","",Inputs!$B$11-B65)</f>
        <v/>
      </c>
      <c r="L65" s="5" t="str">
        <f>IF(A65="","",IF(I65&lt;=0,"Sold out",IF(K65&gt;=Inputs!$B$18,"Dead",IF(K65&gt;=Inputs!$B$17,"Ageing",IF(K65&gt;=Inputs!$B$16,"Watch","Fresh")))))</f>
        <v/>
      </c>
      <c r="M65" s="5" t="str">
        <f t="shared" si="2"/>
        <v/>
      </c>
      <c r="N65" s="12" t="str">
        <f t="shared" si="3"/>
        <v/>
      </c>
      <c r="O65" s="36" t="str">
        <f t="shared" si="4"/>
        <v/>
      </c>
    </row>
    <row r="66" spans="1:15" x14ac:dyDescent="0.25">
      <c r="A66" s="34"/>
      <c r="B66" s="33"/>
      <c r="C66" s="34"/>
      <c r="D66" s="34"/>
      <c r="E66" s="34"/>
      <c r="F66" s="34"/>
      <c r="G66" s="35"/>
      <c r="H66" s="34"/>
      <c r="I66" s="5" t="str">
        <f t="shared" si="0"/>
        <v/>
      </c>
      <c r="J66" s="12" t="str">
        <f t="shared" si="1"/>
        <v/>
      </c>
      <c r="K66" s="37" t="str">
        <f>IF(A66="","",Inputs!$B$11-B66)</f>
        <v/>
      </c>
      <c r="L66" s="5" t="str">
        <f>IF(A66="","",IF(I66&lt;=0,"Sold out",IF(K66&gt;=Inputs!$B$18,"Dead",IF(K66&gt;=Inputs!$B$17,"Ageing",IF(K66&gt;=Inputs!$B$16,"Watch","Fresh")))))</f>
        <v/>
      </c>
      <c r="M66" s="5" t="str">
        <f t="shared" si="2"/>
        <v/>
      </c>
      <c r="N66" s="12" t="str">
        <f t="shared" si="3"/>
        <v/>
      </c>
      <c r="O66" s="36" t="str">
        <f t="shared" si="4"/>
        <v/>
      </c>
    </row>
    <row r="67" spans="1:15" x14ac:dyDescent="0.25">
      <c r="A67" s="34"/>
      <c r="B67" s="33"/>
      <c r="C67" s="34"/>
      <c r="D67" s="34"/>
      <c r="E67" s="34"/>
      <c r="F67" s="34"/>
      <c r="G67" s="35"/>
      <c r="H67" s="34"/>
      <c r="I67" s="5" t="str">
        <f t="shared" si="0"/>
        <v/>
      </c>
      <c r="J67" s="12" t="str">
        <f t="shared" si="1"/>
        <v/>
      </c>
      <c r="K67" s="37" t="str">
        <f>IF(A67="","",Inputs!$B$11-B67)</f>
        <v/>
      </c>
      <c r="L67" s="5" t="str">
        <f>IF(A67="","",IF(I67&lt;=0,"Sold out",IF(K67&gt;=Inputs!$B$18,"Dead",IF(K67&gt;=Inputs!$B$17,"Ageing",IF(K67&gt;=Inputs!$B$16,"Watch","Fresh")))))</f>
        <v/>
      </c>
      <c r="M67" s="5" t="str">
        <f t="shared" si="2"/>
        <v/>
      </c>
      <c r="N67" s="12" t="str">
        <f t="shared" si="3"/>
        <v/>
      </c>
      <c r="O67" s="36" t="str">
        <f t="shared" si="4"/>
        <v/>
      </c>
    </row>
    <row r="68" spans="1:15" x14ac:dyDescent="0.25">
      <c r="A68" s="34"/>
      <c r="B68" s="33"/>
      <c r="C68" s="34"/>
      <c r="D68" s="34"/>
      <c r="E68" s="34"/>
      <c r="F68" s="34"/>
      <c r="G68" s="35"/>
      <c r="H68" s="34"/>
      <c r="I68" s="5" t="str">
        <f t="shared" si="0"/>
        <v/>
      </c>
      <c r="J68" s="12" t="str">
        <f t="shared" si="1"/>
        <v/>
      </c>
      <c r="K68" s="37" t="str">
        <f>IF(A68="","",Inputs!$B$11-B68)</f>
        <v/>
      </c>
      <c r="L68" s="5" t="str">
        <f>IF(A68="","",IF(I68&lt;=0,"Sold out",IF(K68&gt;=Inputs!$B$18,"Dead",IF(K68&gt;=Inputs!$B$17,"Ageing",IF(K68&gt;=Inputs!$B$16,"Watch","Fresh")))))</f>
        <v/>
      </c>
      <c r="M68" s="5" t="str">
        <f t="shared" si="2"/>
        <v/>
      </c>
      <c r="N68" s="12" t="str">
        <f t="shared" si="3"/>
        <v/>
      </c>
      <c r="O68" s="36" t="str">
        <f t="shared" si="4"/>
        <v/>
      </c>
    </row>
    <row r="69" spans="1:15" x14ac:dyDescent="0.25">
      <c r="A69" s="34"/>
      <c r="B69" s="33"/>
      <c r="C69" s="34"/>
      <c r="D69" s="34"/>
      <c r="E69" s="34"/>
      <c r="F69" s="34"/>
      <c r="G69" s="35"/>
      <c r="H69" s="34"/>
      <c r="I69" s="5" t="str">
        <f t="shared" si="0"/>
        <v/>
      </c>
      <c r="J69" s="12" t="str">
        <f t="shared" si="1"/>
        <v/>
      </c>
      <c r="K69" s="37" t="str">
        <f>IF(A69="","",Inputs!$B$11-B69)</f>
        <v/>
      </c>
      <c r="L69" s="5" t="str">
        <f>IF(A69="","",IF(I69&lt;=0,"Sold out",IF(K69&gt;=Inputs!$B$18,"Dead",IF(K69&gt;=Inputs!$B$17,"Ageing",IF(K69&gt;=Inputs!$B$16,"Watch","Fresh")))))</f>
        <v/>
      </c>
      <c r="M69" s="5" t="str">
        <f t="shared" si="2"/>
        <v/>
      </c>
      <c r="N69" s="12" t="str">
        <f t="shared" si="3"/>
        <v/>
      </c>
      <c r="O69" s="36" t="str">
        <f t="shared" si="4"/>
        <v/>
      </c>
    </row>
    <row r="70" spans="1:15" x14ac:dyDescent="0.25">
      <c r="A70" s="34"/>
      <c r="B70" s="33"/>
      <c r="C70" s="34"/>
      <c r="D70" s="34"/>
      <c r="E70" s="34"/>
      <c r="F70" s="34"/>
      <c r="G70" s="35"/>
      <c r="H70" s="34"/>
      <c r="I70" s="5" t="str">
        <f t="shared" ref="I70:I133" si="5">IF(A70="","",F70-H70)</f>
        <v/>
      </c>
      <c r="J70" s="12" t="str">
        <f t="shared" ref="J70:J133" si="6">IF(A70="","",I70*G70)</f>
        <v/>
      </c>
      <c r="K70" s="37" t="str">
        <f>IF(A70="","",Inputs!$B$11-B70)</f>
        <v/>
      </c>
      <c r="L70" s="5" t="str">
        <f>IF(A70="","",IF(I70&lt;=0,"Sold out",IF(K70&gt;=Inputs!$B$18,"Dead",IF(K70&gt;=Inputs!$B$17,"Ageing",IF(K70&gt;=Inputs!$B$16,"Watch","Fresh")))))</f>
        <v/>
      </c>
      <c r="M70" s="5" t="str">
        <f t="shared" ref="M70:M133" si="7">IF(L70="","",IF(L70="Dead","Clearance / exchange with vendor",IF(L70="Ageing","Markdown 20-30%",IF(L70="Watch","Push in reels &amp; WhatsApp broadcast",IF(L70="Fresh","OK","-")))))</f>
        <v/>
      </c>
      <c r="N70" s="12" t="str">
        <f t="shared" ref="N70:N133" si="8">IF(A70="","",F70*G70)</f>
        <v/>
      </c>
      <c r="O70" s="36" t="str">
        <f t="shared" ref="O70:O133" si="9">IF(B70="","",DATE(YEAR(B70),MONTH(B70),1))</f>
        <v/>
      </c>
    </row>
    <row r="71" spans="1:15" x14ac:dyDescent="0.25">
      <c r="A71" s="34"/>
      <c r="B71" s="33"/>
      <c r="C71" s="34"/>
      <c r="D71" s="34"/>
      <c r="E71" s="34"/>
      <c r="F71" s="34"/>
      <c r="G71" s="35"/>
      <c r="H71" s="34"/>
      <c r="I71" s="5" t="str">
        <f t="shared" si="5"/>
        <v/>
      </c>
      <c r="J71" s="12" t="str">
        <f t="shared" si="6"/>
        <v/>
      </c>
      <c r="K71" s="37" t="str">
        <f>IF(A71="","",Inputs!$B$11-B71)</f>
        <v/>
      </c>
      <c r="L71" s="5" t="str">
        <f>IF(A71="","",IF(I71&lt;=0,"Sold out",IF(K71&gt;=Inputs!$B$18,"Dead",IF(K71&gt;=Inputs!$B$17,"Ageing",IF(K71&gt;=Inputs!$B$16,"Watch","Fresh")))))</f>
        <v/>
      </c>
      <c r="M71" s="5" t="str">
        <f t="shared" si="7"/>
        <v/>
      </c>
      <c r="N71" s="12" t="str">
        <f t="shared" si="8"/>
        <v/>
      </c>
      <c r="O71" s="36" t="str">
        <f t="shared" si="9"/>
        <v/>
      </c>
    </row>
    <row r="72" spans="1:15" x14ac:dyDescent="0.25">
      <c r="A72" s="34"/>
      <c r="B72" s="33"/>
      <c r="C72" s="34"/>
      <c r="D72" s="34"/>
      <c r="E72" s="34"/>
      <c r="F72" s="34"/>
      <c r="G72" s="35"/>
      <c r="H72" s="34"/>
      <c r="I72" s="5" t="str">
        <f t="shared" si="5"/>
        <v/>
      </c>
      <c r="J72" s="12" t="str">
        <f t="shared" si="6"/>
        <v/>
      </c>
      <c r="K72" s="37" t="str">
        <f>IF(A72="","",Inputs!$B$11-B72)</f>
        <v/>
      </c>
      <c r="L72" s="5" t="str">
        <f>IF(A72="","",IF(I72&lt;=0,"Sold out",IF(K72&gt;=Inputs!$B$18,"Dead",IF(K72&gt;=Inputs!$B$17,"Ageing",IF(K72&gt;=Inputs!$B$16,"Watch","Fresh")))))</f>
        <v/>
      </c>
      <c r="M72" s="5" t="str">
        <f t="shared" si="7"/>
        <v/>
      </c>
      <c r="N72" s="12" t="str">
        <f t="shared" si="8"/>
        <v/>
      </c>
      <c r="O72" s="36" t="str">
        <f t="shared" si="9"/>
        <v/>
      </c>
    </row>
    <row r="73" spans="1:15" x14ac:dyDescent="0.25">
      <c r="A73" s="34"/>
      <c r="B73" s="33"/>
      <c r="C73" s="34"/>
      <c r="D73" s="34"/>
      <c r="E73" s="34"/>
      <c r="F73" s="34"/>
      <c r="G73" s="35"/>
      <c r="H73" s="34"/>
      <c r="I73" s="5" t="str">
        <f t="shared" si="5"/>
        <v/>
      </c>
      <c r="J73" s="12" t="str">
        <f t="shared" si="6"/>
        <v/>
      </c>
      <c r="K73" s="37" t="str">
        <f>IF(A73="","",Inputs!$B$11-B73)</f>
        <v/>
      </c>
      <c r="L73" s="5" t="str">
        <f>IF(A73="","",IF(I73&lt;=0,"Sold out",IF(K73&gt;=Inputs!$B$18,"Dead",IF(K73&gt;=Inputs!$B$17,"Ageing",IF(K73&gt;=Inputs!$B$16,"Watch","Fresh")))))</f>
        <v/>
      </c>
      <c r="M73" s="5" t="str">
        <f t="shared" si="7"/>
        <v/>
      </c>
      <c r="N73" s="12" t="str">
        <f t="shared" si="8"/>
        <v/>
      </c>
      <c r="O73" s="36" t="str">
        <f t="shared" si="9"/>
        <v/>
      </c>
    </row>
    <row r="74" spans="1:15" x14ac:dyDescent="0.25">
      <c r="A74" s="34"/>
      <c r="B74" s="33"/>
      <c r="C74" s="34"/>
      <c r="D74" s="34"/>
      <c r="E74" s="34"/>
      <c r="F74" s="34"/>
      <c r="G74" s="35"/>
      <c r="H74" s="34"/>
      <c r="I74" s="5" t="str">
        <f t="shared" si="5"/>
        <v/>
      </c>
      <c r="J74" s="12" t="str">
        <f t="shared" si="6"/>
        <v/>
      </c>
      <c r="K74" s="37" t="str">
        <f>IF(A74="","",Inputs!$B$11-B74)</f>
        <v/>
      </c>
      <c r="L74" s="5" t="str">
        <f>IF(A74="","",IF(I74&lt;=0,"Sold out",IF(K74&gt;=Inputs!$B$18,"Dead",IF(K74&gt;=Inputs!$B$17,"Ageing",IF(K74&gt;=Inputs!$B$16,"Watch","Fresh")))))</f>
        <v/>
      </c>
      <c r="M74" s="5" t="str">
        <f t="shared" si="7"/>
        <v/>
      </c>
      <c r="N74" s="12" t="str">
        <f t="shared" si="8"/>
        <v/>
      </c>
      <c r="O74" s="36" t="str">
        <f t="shared" si="9"/>
        <v/>
      </c>
    </row>
    <row r="75" spans="1:15" x14ac:dyDescent="0.25">
      <c r="A75" s="34"/>
      <c r="B75" s="33"/>
      <c r="C75" s="34"/>
      <c r="D75" s="34"/>
      <c r="E75" s="34"/>
      <c r="F75" s="34"/>
      <c r="G75" s="35"/>
      <c r="H75" s="34"/>
      <c r="I75" s="5" t="str">
        <f t="shared" si="5"/>
        <v/>
      </c>
      <c r="J75" s="12" t="str">
        <f t="shared" si="6"/>
        <v/>
      </c>
      <c r="K75" s="37" t="str">
        <f>IF(A75="","",Inputs!$B$11-B75)</f>
        <v/>
      </c>
      <c r="L75" s="5" t="str">
        <f>IF(A75="","",IF(I75&lt;=0,"Sold out",IF(K75&gt;=Inputs!$B$18,"Dead",IF(K75&gt;=Inputs!$B$17,"Ageing",IF(K75&gt;=Inputs!$B$16,"Watch","Fresh")))))</f>
        <v/>
      </c>
      <c r="M75" s="5" t="str">
        <f t="shared" si="7"/>
        <v/>
      </c>
      <c r="N75" s="12" t="str">
        <f t="shared" si="8"/>
        <v/>
      </c>
      <c r="O75" s="36" t="str">
        <f t="shared" si="9"/>
        <v/>
      </c>
    </row>
    <row r="76" spans="1:15" x14ac:dyDescent="0.25">
      <c r="A76" s="34"/>
      <c r="B76" s="33"/>
      <c r="C76" s="34"/>
      <c r="D76" s="34"/>
      <c r="E76" s="34"/>
      <c r="F76" s="34"/>
      <c r="G76" s="35"/>
      <c r="H76" s="34"/>
      <c r="I76" s="5" t="str">
        <f t="shared" si="5"/>
        <v/>
      </c>
      <c r="J76" s="12" t="str">
        <f t="shared" si="6"/>
        <v/>
      </c>
      <c r="K76" s="37" t="str">
        <f>IF(A76="","",Inputs!$B$11-B76)</f>
        <v/>
      </c>
      <c r="L76" s="5" t="str">
        <f>IF(A76="","",IF(I76&lt;=0,"Sold out",IF(K76&gt;=Inputs!$B$18,"Dead",IF(K76&gt;=Inputs!$B$17,"Ageing",IF(K76&gt;=Inputs!$B$16,"Watch","Fresh")))))</f>
        <v/>
      </c>
      <c r="M76" s="5" t="str">
        <f t="shared" si="7"/>
        <v/>
      </c>
      <c r="N76" s="12" t="str">
        <f t="shared" si="8"/>
        <v/>
      </c>
      <c r="O76" s="36" t="str">
        <f t="shared" si="9"/>
        <v/>
      </c>
    </row>
    <row r="77" spans="1:15" x14ac:dyDescent="0.25">
      <c r="A77" s="34"/>
      <c r="B77" s="33"/>
      <c r="C77" s="34"/>
      <c r="D77" s="34"/>
      <c r="E77" s="34"/>
      <c r="F77" s="34"/>
      <c r="G77" s="35"/>
      <c r="H77" s="34"/>
      <c r="I77" s="5" t="str">
        <f t="shared" si="5"/>
        <v/>
      </c>
      <c r="J77" s="12" t="str">
        <f t="shared" si="6"/>
        <v/>
      </c>
      <c r="K77" s="37" t="str">
        <f>IF(A77="","",Inputs!$B$11-B77)</f>
        <v/>
      </c>
      <c r="L77" s="5" t="str">
        <f>IF(A77="","",IF(I77&lt;=0,"Sold out",IF(K77&gt;=Inputs!$B$18,"Dead",IF(K77&gt;=Inputs!$B$17,"Ageing",IF(K77&gt;=Inputs!$B$16,"Watch","Fresh")))))</f>
        <v/>
      </c>
      <c r="M77" s="5" t="str">
        <f t="shared" si="7"/>
        <v/>
      </c>
      <c r="N77" s="12" t="str">
        <f t="shared" si="8"/>
        <v/>
      </c>
      <c r="O77" s="36" t="str">
        <f t="shared" si="9"/>
        <v/>
      </c>
    </row>
    <row r="78" spans="1:15" x14ac:dyDescent="0.25">
      <c r="A78" s="34"/>
      <c r="B78" s="33"/>
      <c r="C78" s="34"/>
      <c r="D78" s="34"/>
      <c r="E78" s="34"/>
      <c r="F78" s="34"/>
      <c r="G78" s="35"/>
      <c r="H78" s="34"/>
      <c r="I78" s="5" t="str">
        <f t="shared" si="5"/>
        <v/>
      </c>
      <c r="J78" s="12" t="str">
        <f t="shared" si="6"/>
        <v/>
      </c>
      <c r="K78" s="37" t="str">
        <f>IF(A78="","",Inputs!$B$11-B78)</f>
        <v/>
      </c>
      <c r="L78" s="5" t="str">
        <f>IF(A78="","",IF(I78&lt;=0,"Sold out",IF(K78&gt;=Inputs!$B$18,"Dead",IF(K78&gt;=Inputs!$B$17,"Ageing",IF(K78&gt;=Inputs!$B$16,"Watch","Fresh")))))</f>
        <v/>
      </c>
      <c r="M78" s="5" t="str">
        <f t="shared" si="7"/>
        <v/>
      </c>
      <c r="N78" s="12" t="str">
        <f t="shared" si="8"/>
        <v/>
      </c>
      <c r="O78" s="36" t="str">
        <f t="shared" si="9"/>
        <v/>
      </c>
    </row>
    <row r="79" spans="1:15" x14ac:dyDescent="0.25">
      <c r="A79" s="34"/>
      <c r="B79" s="33"/>
      <c r="C79" s="34"/>
      <c r="D79" s="34"/>
      <c r="E79" s="34"/>
      <c r="F79" s="34"/>
      <c r="G79" s="35"/>
      <c r="H79" s="34"/>
      <c r="I79" s="5" t="str">
        <f t="shared" si="5"/>
        <v/>
      </c>
      <c r="J79" s="12" t="str">
        <f t="shared" si="6"/>
        <v/>
      </c>
      <c r="K79" s="37" t="str">
        <f>IF(A79="","",Inputs!$B$11-B79)</f>
        <v/>
      </c>
      <c r="L79" s="5" t="str">
        <f>IF(A79="","",IF(I79&lt;=0,"Sold out",IF(K79&gt;=Inputs!$B$18,"Dead",IF(K79&gt;=Inputs!$B$17,"Ageing",IF(K79&gt;=Inputs!$B$16,"Watch","Fresh")))))</f>
        <v/>
      </c>
      <c r="M79" s="5" t="str">
        <f t="shared" si="7"/>
        <v/>
      </c>
      <c r="N79" s="12" t="str">
        <f t="shared" si="8"/>
        <v/>
      </c>
      <c r="O79" s="36" t="str">
        <f t="shared" si="9"/>
        <v/>
      </c>
    </row>
    <row r="80" spans="1:15" x14ac:dyDescent="0.25">
      <c r="A80" s="34"/>
      <c r="B80" s="33"/>
      <c r="C80" s="34"/>
      <c r="D80" s="34"/>
      <c r="E80" s="34"/>
      <c r="F80" s="34"/>
      <c r="G80" s="35"/>
      <c r="H80" s="34"/>
      <c r="I80" s="5" t="str">
        <f t="shared" si="5"/>
        <v/>
      </c>
      <c r="J80" s="12" t="str">
        <f t="shared" si="6"/>
        <v/>
      </c>
      <c r="K80" s="37" t="str">
        <f>IF(A80="","",Inputs!$B$11-B80)</f>
        <v/>
      </c>
      <c r="L80" s="5" t="str">
        <f>IF(A80="","",IF(I80&lt;=0,"Sold out",IF(K80&gt;=Inputs!$B$18,"Dead",IF(K80&gt;=Inputs!$B$17,"Ageing",IF(K80&gt;=Inputs!$B$16,"Watch","Fresh")))))</f>
        <v/>
      </c>
      <c r="M80" s="5" t="str">
        <f t="shared" si="7"/>
        <v/>
      </c>
      <c r="N80" s="12" t="str">
        <f t="shared" si="8"/>
        <v/>
      </c>
      <c r="O80" s="36" t="str">
        <f t="shared" si="9"/>
        <v/>
      </c>
    </row>
    <row r="81" spans="1:15" x14ac:dyDescent="0.25">
      <c r="A81" s="34"/>
      <c r="B81" s="33"/>
      <c r="C81" s="34"/>
      <c r="D81" s="34"/>
      <c r="E81" s="34"/>
      <c r="F81" s="34"/>
      <c r="G81" s="35"/>
      <c r="H81" s="34"/>
      <c r="I81" s="5" t="str">
        <f t="shared" si="5"/>
        <v/>
      </c>
      <c r="J81" s="12" t="str">
        <f t="shared" si="6"/>
        <v/>
      </c>
      <c r="K81" s="37" t="str">
        <f>IF(A81="","",Inputs!$B$11-B81)</f>
        <v/>
      </c>
      <c r="L81" s="5" t="str">
        <f>IF(A81="","",IF(I81&lt;=0,"Sold out",IF(K81&gt;=Inputs!$B$18,"Dead",IF(K81&gt;=Inputs!$B$17,"Ageing",IF(K81&gt;=Inputs!$B$16,"Watch","Fresh")))))</f>
        <v/>
      </c>
      <c r="M81" s="5" t="str">
        <f t="shared" si="7"/>
        <v/>
      </c>
      <c r="N81" s="12" t="str">
        <f t="shared" si="8"/>
        <v/>
      </c>
      <c r="O81" s="36" t="str">
        <f t="shared" si="9"/>
        <v/>
      </c>
    </row>
    <row r="82" spans="1:15" x14ac:dyDescent="0.25">
      <c r="A82" s="34"/>
      <c r="B82" s="33"/>
      <c r="C82" s="34"/>
      <c r="D82" s="34"/>
      <c r="E82" s="34"/>
      <c r="F82" s="34"/>
      <c r="G82" s="35"/>
      <c r="H82" s="34"/>
      <c r="I82" s="5" t="str">
        <f t="shared" si="5"/>
        <v/>
      </c>
      <c r="J82" s="12" t="str">
        <f t="shared" si="6"/>
        <v/>
      </c>
      <c r="K82" s="37" t="str">
        <f>IF(A82="","",Inputs!$B$11-B82)</f>
        <v/>
      </c>
      <c r="L82" s="5" t="str">
        <f>IF(A82="","",IF(I82&lt;=0,"Sold out",IF(K82&gt;=Inputs!$B$18,"Dead",IF(K82&gt;=Inputs!$B$17,"Ageing",IF(K82&gt;=Inputs!$B$16,"Watch","Fresh")))))</f>
        <v/>
      </c>
      <c r="M82" s="5" t="str">
        <f t="shared" si="7"/>
        <v/>
      </c>
      <c r="N82" s="12" t="str">
        <f t="shared" si="8"/>
        <v/>
      </c>
      <c r="O82" s="36" t="str">
        <f t="shared" si="9"/>
        <v/>
      </c>
    </row>
    <row r="83" spans="1:15" x14ac:dyDescent="0.25">
      <c r="A83" s="34"/>
      <c r="B83" s="33"/>
      <c r="C83" s="34"/>
      <c r="D83" s="34"/>
      <c r="E83" s="34"/>
      <c r="F83" s="34"/>
      <c r="G83" s="35"/>
      <c r="H83" s="34"/>
      <c r="I83" s="5" t="str">
        <f t="shared" si="5"/>
        <v/>
      </c>
      <c r="J83" s="12" t="str">
        <f t="shared" si="6"/>
        <v/>
      </c>
      <c r="K83" s="37" t="str">
        <f>IF(A83="","",Inputs!$B$11-B83)</f>
        <v/>
      </c>
      <c r="L83" s="5" t="str">
        <f>IF(A83="","",IF(I83&lt;=0,"Sold out",IF(K83&gt;=Inputs!$B$18,"Dead",IF(K83&gt;=Inputs!$B$17,"Ageing",IF(K83&gt;=Inputs!$B$16,"Watch","Fresh")))))</f>
        <v/>
      </c>
      <c r="M83" s="5" t="str">
        <f t="shared" si="7"/>
        <v/>
      </c>
      <c r="N83" s="12" t="str">
        <f t="shared" si="8"/>
        <v/>
      </c>
      <c r="O83" s="36" t="str">
        <f t="shared" si="9"/>
        <v/>
      </c>
    </row>
    <row r="84" spans="1:15" x14ac:dyDescent="0.25">
      <c r="A84" s="34"/>
      <c r="B84" s="33"/>
      <c r="C84" s="34"/>
      <c r="D84" s="34"/>
      <c r="E84" s="34"/>
      <c r="F84" s="34"/>
      <c r="G84" s="35"/>
      <c r="H84" s="34"/>
      <c r="I84" s="5" t="str">
        <f t="shared" si="5"/>
        <v/>
      </c>
      <c r="J84" s="12" t="str">
        <f t="shared" si="6"/>
        <v/>
      </c>
      <c r="K84" s="37" t="str">
        <f>IF(A84="","",Inputs!$B$11-B84)</f>
        <v/>
      </c>
      <c r="L84" s="5" t="str">
        <f>IF(A84="","",IF(I84&lt;=0,"Sold out",IF(K84&gt;=Inputs!$B$18,"Dead",IF(K84&gt;=Inputs!$B$17,"Ageing",IF(K84&gt;=Inputs!$B$16,"Watch","Fresh")))))</f>
        <v/>
      </c>
      <c r="M84" s="5" t="str">
        <f t="shared" si="7"/>
        <v/>
      </c>
      <c r="N84" s="12" t="str">
        <f t="shared" si="8"/>
        <v/>
      </c>
      <c r="O84" s="36" t="str">
        <f t="shared" si="9"/>
        <v/>
      </c>
    </row>
    <row r="85" spans="1:15" x14ac:dyDescent="0.25">
      <c r="A85" s="34"/>
      <c r="B85" s="33"/>
      <c r="C85" s="34"/>
      <c r="D85" s="34"/>
      <c r="E85" s="34"/>
      <c r="F85" s="34"/>
      <c r="G85" s="35"/>
      <c r="H85" s="34"/>
      <c r="I85" s="5" t="str">
        <f t="shared" si="5"/>
        <v/>
      </c>
      <c r="J85" s="12" t="str">
        <f t="shared" si="6"/>
        <v/>
      </c>
      <c r="K85" s="37" t="str">
        <f>IF(A85="","",Inputs!$B$11-B85)</f>
        <v/>
      </c>
      <c r="L85" s="5" t="str">
        <f>IF(A85="","",IF(I85&lt;=0,"Sold out",IF(K85&gt;=Inputs!$B$18,"Dead",IF(K85&gt;=Inputs!$B$17,"Ageing",IF(K85&gt;=Inputs!$B$16,"Watch","Fresh")))))</f>
        <v/>
      </c>
      <c r="M85" s="5" t="str">
        <f t="shared" si="7"/>
        <v/>
      </c>
      <c r="N85" s="12" t="str">
        <f t="shared" si="8"/>
        <v/>
      </c>
      <c r="O85" s="36" t="str">
        <f t="shared" si="9"/>
        <v/>
      </c>
    </row>
    <row r="86" spans="1:15" x14ac:dyDescent="0.25">
      <c r="A86" s="34"/>
      <c r="B86" s="33"/>
      <c r="C86" s="34"/>
      <c r="D86" s="34"/>
      <c r="E86" s="34"/>
      <c r="F86" s="34"/>
      <c r="G86" s="35"/>
      <c r="H86" s="34"/>
      <c r="I86" s="5" t="str">
        <f t="shared" si="5"/>
        <v/>
      </c>
      <c r="J86" s="12" t="str">
        <f t="shared" si="6"/>
        <v/>
      </c>
      <c r="K86" s="37" t="str">
        <f>IF(A86="","",Inputs!$B$11-B86)</f>
        <v/>
      </c>
      <c r="L86" s="5" t="str">
        <f>IF(A86="","",IF(I86&lt;=0,"Sold out",IF(K86&gt;=Inputs!$B$18,"Dead",IF(K86&gt;=Inputs!$B$17,"Ageing",IF(K86&gt;=Inputs!$B$16,"Watch","Fresh")))))</f>
        <v/>
      </c>
      <c r="M86" s="5" t="str">
        <f t="shared" si="7"/>
        <v/>
      </c>
      <c r="N86" s="12" t="str">
        <f t="shared" si="8"/>
        <v/>
      </c>
      <c r="O86" s="36" t="str">
        <f t="shared" si="9"/>
        <v/>
      </c>
    </row>
    <row r="87" spans="1:15" x14ac:dyDescent="0.25">
      <c r="A87" s="34"/>
      <c r="B87" s="33"/>
      <c r="C87" s="34"/>
      <c r="D87" s="34"/>
      <c r="E87" s="34"/>
      <c r="F87" s="34"/>
      <c r="G87" s="35"/>
      <c r="H87" s="34"/>
      <c r="I87" s="5" t="str">
        <f t="shared" si="5"/>
        <v/>
      </c>
      <c r="J87" s="12" t="str">
        <f t="shared" si="6"/>
        <v/>
      </c>
      <c r="K87" s="37" t="str">
        <f>IF(A87="","",Inputs!$B$11-B87)</f>
        <v/>
      </c>
      <c r="L87" s="5" t="str">
        <f>IF(A87="","",IF(I87&lt;=0,"Sold out",IF(K87&gt;=Inputs!$B$18,"Dead",IF(K87&gt;=Inputs!$B$17,"Ageing",IF(K87&gt;=Inputs!$B$16,"Watch","Fresh")))))</f>
        <v/>
      </c>
      <c r="M87" s="5" t="str">
        <f t="shared" si="7"/>
        <v/>
      </c>
      <c r="N87" s="12" t="str">
        <f t="shared" si="8"/>
        <v/>
      </c>
      <c r="O87" s="36" t="str">
        <f t="shared" si="9"/>
        <v/>
      </c>
    </row>
    <row r="88" spans="1:15" x14ac:dyDescent="0.25">
      <c r="A88" s="34"/>
      <c r="B88" s="33"/>
      <c r="C88" s="34"/>
      <c r="D88" s="34"/>
      <c r="E88" s="34"/>
      <c r="F88" s="34"/>
      <c r="G88" s="35"/>
      <c r="H88" s="34"/>
      <c r="I88" s="5" t="str">
        <f t="shared" si="5"/>
        <v/>
      </c>
      <c r="J88" s="12" t="str">
        <f t="shared" si="6"/>
        <v/>
      </c>
      <c r="K88" s="37" t="str">
        <f>IF(A88="","",Inputs!$B$11-B88)</f>
        <v/>
      </c>
      <c r="L88" s="5" t="str">
        <f>IF(A88="","",IF(I88&lt;=0,"Sold out",IF(K88&gt;=Inputs!$B$18,"Dead",IF(K88&gt;=Inputs!$B$17,"Ageing",IF(K88&gt;=Inputs!$B$16,"Watch","Fresh")))))</f>
        <v/>
      </c>
      <c r="M88" s="5" t="str">
        <f t="shared" si="7"/>
        <v/>
      </c>
      <c r="N88" s="12" t="str">
        <f t="shared" si="8"/>
        <v/>
      </c>
      <c r="O88" s="36" t="str">
        <f t="shared" si="9"/>
        <v/>
      </c>
    </row>
    <row r="89" spans="1:15" x14ac:dyDescent="0.25">
      <c r="A89" s="34"/>
      <c r="B89" s="33"/>
      <c r="C89" s="34"/>
      <c r="D89" s="34"/>
      <c r="E89" s="34"/>
      <c r="F89" s="34"/>
      <c r="G89" s="35"/>
      <c r="H89" s="34"/>
      <c r="I89" s="5" t="str">
        <f t="shared" si="5"/>
        <v/>
      </c>
      <c r="J89" s="12" t="str">
        <f t="shared" si="6"/>
        <v/>
      </c>
      <c r="K89" s="37" t="str">
        <f>IF(A89="","",Inputs!$B$11-B89)</f>
        <v/>
      </c>
      <c r="L89" s="5" t="str">
        <f>IF(A89="","",IF(I89&lt;=0,"Sold out",IF(K89&gt;=Inputs!$B$18,"Dead",IF(K89&gt;=Inputs!$B$17,"Ageing",IF(K89&gt;=Inputs!$B$16,"Watch","Fresh")))))</f>
        <v/>
      </c>
      <c r="M89" s="5" t="str">
        <f t="shared" si="7"/>
        <v/>
      </c>
      <c r="N89" s="12" t="str">
        <f t="shared" si="8"/>
        <v/>
      </c>
      <c r="O89" s="36" t="str">
        <f t="shared" si="9"/>
        <v/>
      </c>
    </row>
    <row r="90" spans="1:15" x14ac:dyDescent="0.25">
      <c r="A90" s="34"/>
      <c r="B90" s="33"/>
      <c r="C90" s="34"/>
      <c r="D90" s="34"/>
      <c r="E90" s="34"/>
      <c r="F90" s="34"/>
      <c r="G90" s="35"/>
      <c r="H90" s="34"/>
      <c r="I90" s="5" t="str">
        <f t="shared" si="5"/>
        <v/>
      </c>
      <c r="J90" s="12" t="str">
        <f t="shared" si="6"/>
        <v/>
      </c>
      <c r="K90" s="37" t="str">
        <f>IF(A90="","",Inputs!$B$11-B90)</f>
        <v/>
      </c>
      <c r="L90" s="5" t="str">
        <f>IF(A90="","",IF(I90&lt;=0,"Sold out",IF(K90&gt;=Inputs!$B$18,"Dead",IF(K90&gt;=Inputs!$B$17,"Ageing",IF(K90&gt;=Inputs!$B$16,"Watch","Fresh")))))</f>
        <v/>
      </c>
      <c r="M90" s="5" t="str">
        <f t="shared" si="7"/>
        <v/>
      </c>
      <c r="N90" s="12" t="str">
        <f t="shared" si="8"/>
        <v/>
      </c>
      <c r="O90" s="36" t="str">
        <f t="shared" si="9"/>
        <v/>
      </c>
    </row>
    <row r="91" spans="1:15" x14ac:dyDescent="0.25">
      <c r="A91" s="34"/>
      <c r="B91" s="33"/>
      <c r="C91" s="34"/>
      <c r="D91" s="34"/>
      <c r="E91" s="34"/>
      <c r="F91" s="34"/>
      <c r="G91" s="35"/>
      <c r="H91" s="34"/>
      <c r="I91" s="5" t="str">
        <f t="shared" si="5"/>
        <v/>
      </c>
      <c r="J91" s="12" t="str">
        <f t="shared" si="6"/>
        <v/>
      </c>
      <c r="K91" s="37" t="str">
        <f>IF(A91="","",Inputs!$B$11-B91)</f>
        <v/>
      </c>
      <c r="L91" s="5" t="str">
        <f>IF(A91="","",IF(I91&lt;=0,"Sold out",IF(K91&gt;=Inputs!$B$18,"Dead",IF(K91&gt;=Inputs!$B$17,"Ageing",IF(K91&gt;=Inputs!$B$16,"Watch","Fresh")))))</f>
        <v/>
      </c>
      <c r="M91" s="5" t="str">
        <f t="shared" si="7"/>
        <v/>
      </c>
      <c r="N91" s="12" t="str">
        <f t="shared" si="8"/>
        <v/>
      </c>
      <c r="O91" s="36" t="str">
        <f t="shared" si="9"/>
        <v/>
      </c>
    </row>
    <row r="92" spans="1:15" x14ac:dyDescent="0.25">
      <c r="A92" s="34"/>
      <c r="B92" s="33"/>
      <c r="C92" s="34"/>
      <c r="D92" s="34"/>
      <c r="E92" s="34"/>
      <c r="F92" s="34"/>
      <c r="G92" s="35"/>
      <c r="H92" s="34"/>
      <c r="I92" s="5" t="str">
        <f t="shared" si="5"/>
        <v/>
      </c>
      <c r="J92" s="12" t="str">
        <f t="shared" si="6"/>
        <v/>
      </c>
      <c r="K92" s="37" t="str">
        <f>IF(A92="","",Inputs!$B$11-B92)</f>
        <v/>
      </c>
      <c r="L92" s="5" t="str">
        <f>IF(A92="","",IF(I92&lt;=0,"Sold out",IF(K92&gt;=Inputs!$B$18,"Dead",IF(K92&gt;=Inputs!$B$17,"Ageing",IF(K92&gt;=Inputs!$B$16,"Watch","Fresh")))))</f>
        <v/>
      </c>
      <c r="M92" s="5" t="str">
        <f t="shared" si="7"/>
        <v/>
      </c>
      <c r="N92" s="12" t="str">
        <f t="shared" si="8"/>
        <v/>
      </c>
      <c r="O92" s="36" t="str">
        <f t="shared" si="9"/>
        <v/>
      </c>
    </row>
    <row r="93" spans="1:15" x14ac:dyDescent="0.25">
      <c r="A93" s="34"/>
      <c r="B93" s="33"/>
      <c r="C93" s="34"/>
      <c r="D93" s="34"/>
      <c r="E93" s="34"/>
      <c r="F93" s="34"/>
      <c r="G93" s="35"/>
      <c r="H93" s="34"/>
      <c r="I93" s="5" t="str">
        <f t="shared" si="5"/>
        <v/>
      </c>
      <c r="J93" s="12" t="str">
        <f t="shared" si="6"/>
        <v/>
      </c>
      <c r="K93" s="37" t="str">
        <f>IF(A93="","",Inputs!$B$11-B93)</f>
        <v/>
      </c>
      <c r="L93" s="5" t="str">
        <f>IF(A93="","",IF(I93&lt;=0,"Sold out",IF(K93&gt;=Inputs!$B$18,"Dead",IF(K93&gt;=Inputs!$B$17,"Ageing",IF(K93&gt;=Inputs!$B$16,"Watch","Fresh")))))</f>
        <v/>
      </c>
      <c r="M93" s="5" t="str">
        <f t="shared" si="7"/>
        <v/>
      </c>
      <c r="N93" s="12" t="str">
        <f t="shared" si="8"/>
        <v/>
      </c>
      <c r="O93" s="36" t="str">
        <f t="shared" si="9"/>
        <v/>
      </c>
    </row>
    <row r="94" spans="1:15" x14ac:dyDescent="0.25">
      <c r="A94" s="34"/>
      <c r="B94" s="33"/>
      <c r="C94" s="34"/>
      <c r="D94" s="34"/>
      <c r="E94" s="34"/>
      <c r="F94" s="34"/>
      <c r="G94" s="35"/>
      <c r="H94" s="34"/>
      <c r="I94" s="5" t="str">
        <f t="shared" si="5"/>
        <v/>
      </c>
      <c r="J94" s="12" t="str">
        <f t="shared" si="6"/>
        <v/>
      </c>
      <c r="K94" s="37" t="str">
        <f>IF(A94="","",Inputs!$B$11-B94)</f>
        <v/>
      </c>
      <c r="L94" s="5" t="str">
        <f>IF(A94="","",IF(I94&lt;=0,"Sold out",IF(K94&gt;=Inputs!$B$18,"Dead",IF(K94&gt;=Inputs!$B$17,"Ageing",IF(K94&gt;=Inputs!$B$16,"Watch","Fresh")))))</f>
        <v/>
      </c>
      <c r="M94" s="5" t="str">
        <f t="shared" si="7"/>
        <v/>
      </c>
      <c r="N94" s="12" t="str">
        <f t="shared" si="8"/>
        <v/>
      </c>
      <c r="O94" s="36" t="str">
        <f t="shared" si="9"/>
        <v/>
      </c>
    </row>
    <row r="95" spans="1:15" x14ac:dyDescent="0.25">
      <c r="A95" s="34"/>
      <c r="B95" s="33"/>
      <c r="C95" s="34"/>
      <c r="D95" s="34"/>
      <c r="E95" s="34"/>
      <c r="F95" s="34"/>
      <c r="G95" s="35"/>
      <c r="H95" s="34"/>
      <c r="I95" s="5" t="str">
        <f t="shared" si="5"/>
        <v/>
      </c>
      <c r="J95" s="12" t="str">
        <f t="shared" si="6"/>
        <v/>
      </c>
      <c r="K95" s="37" t="str">
        <f>IF(A95="","",Inputs!$B$11-B95)</f>
        <v/>
      </c>
      <c r="L95" s="5" t="str">
        <f>IF(A95="","",IF(I95&lt;=0,"Sold out",IF(K95&gt;=Inputs!$B$18,"Dead",IF(K95&gt;=Inputs!$B$17,"Ageing",IF(K95&gt;=Inputs!$B$16,"Watch","Fresh")))))</f>
        <v/>
      </c>
      <c r="M95" s="5" t="str">
        <f t="shared" si="7"/>
        <v/>
      </c>
      <c r="N95" s="12" t="str">
        <f t="shared" si="8"/>
        <v/>
      </c>
      <c r="O95" s="36" t="str">
        <f t="shared" si="9"/>
        <v/>
      </c>
    </row>
    <row r="96" spans="1:15" x14ac:dyDescent="0.25">
      <c r="A96" s="34"/>
      <c r="B96" s="33"/>
      <c r="C96" s="34"/>
      <c r="D96" s="34"/>
      <c r="E96" s="34"/>
      <c r="F96" s="34"/>
      <c r="G96" s="35"/>
      <c r="H96" s="34"/>
      <c r="I96" s="5" t="str">
        <f t="shared" si="5"/>
        <v/>
      </c>
      <c r="J96" s="12" t="str">
        <f t="shared" si="6"/>
        <v/>
      </c>
      <c r="K96" s="37" t="str">
        <f>IF(A96="","",Inputs!$B$11-B96)</f>
        <v/>
      </c>
      <c r="L96" s="5" t="str">
        <f>IF(A96="","",IF(I96&lt;=0,"Sold out",IF(K96&gt;=Inputs!$B$18,"Dead",IF(K96&gt;=Inputs!$B$17,"Ageing",IF(K96&gt;=Inputs!$B$16,"Watch","Fresh")))))</f>
        <v/>
      </c>
      <c r="M96" s="5" t="str">
        <f t="shared" si="7"/>
        <v/>
      </c>
      <c r="N96" s="12" t="str">
        <f t="shared" si="8"/>
        <v/>
      </c>
      <c r="O96" s="36" t="str">
        <f t="shared" si="9"/>
        <v/>
      </c>
    </row>
    <row r="97" spans="1:15" x14ac:dyDescent="0.25">
      <c r="A97" s="34"/>
      <c r="B97" s="33"/>
      <c r="C97" s="34"/>
      <c r="D97" s="34"/>
      <c r="E97" s="34"/>
      <c r="F97" s="34"/>
      <c r="G97" s="35"/>
      <c r="H97" s="34"/>
      <c r="I97" s="5" t="str">
        <f t="shared" si="5"/>
        <v/>
      </c>
      <c r="J97" s="12" t="str">
        <f t="shared" si="6"/>
        <v/>
      </c>
      <c r="K97" s="37" t="str">
        <f>IF(A97="","",Inputs!$B$11-B97)</f>
        <v/>
      </c>
      <c r="L97" s="5" t="str">
        <f>IF(A97="","",IF(I97&lt;=0,"Sold out",IF(K97&gt;=Inputs!$B$18,"Dead",IF(K97&gt;=Inputs!$B$17,"Ageing",IF(K97&gt;=Inputs!$B$16,"Watch","Fresh")))))</f>
        <v/>
      </c>
      <c r="M97" s="5" t="str">
        <f t="shared" si="7"/>
        <v/>
      </c>
      <c r="N97" s="12" t="str">
        <f t="shared" si="8"/>
        <v/>
      </c>
      <c r="O97" s="36" t="str">
        <f t="shared" si="9"/>
        <v/>
      </c>
    </row>
    <row r="98" spans="1:15" x14ac:dyDescent="0.25">
      <c r="A98" s="34"/>
      <c r="B98" s="33"/>
      <c r="C98" s="34"/>
      <c r="D98" s="34"/>
      <c r="E98" s="34"/>
      <c r="F98" s="34"/>
      <c r="G98" s="35"/>
      <c r="H98" s="34"/>
      <c r="I98" s="5" t="str">
        <f t="shared" si="5"/>
        <v/>
      </c>
      <c r="J98" s="12" t="str">
        <f t="shared" si="6"/>
        <v/>
      </c>
      <c r="K98" s="37" t="str">
        <f>IF(A98="","",Inputs!$B$11-B98)</f>
        <v/>
      </c>
      <c r="L98" s="5" t="str">
        <f>IF(A98="","",IF(I98&lt;=0,"Sold out",IF(K98&gt;=Inputs!$B$18,"Dead",IF(K98&gt;=Inputs!$B$17,"Ageing",IF(K98&gt;=Inputs!$B$16,"Watch","Fresh")))))</f>
        <v/>
      </c>
      <c r="M98" s="5" t="str">
        <f t="shared" si="7"/>
        <v/>
      </c>
      <c r="N98" s="12" t="str">
        <f t="shared" si="8"/>
        <v/>
      </c>
      <c r="O98" s="36" t="str">
        <f t="shared" si="9"/>
        <v/>
      </c>
    </row>
    <row r="99" spans="1:15" x14ac:dyDescent="0.25">
      <c r="A99" s="34"/>
      <c r="B99" s="33"/>
      <c r="C99" s="34"/>
      <c r="D99" s="34"/>
      <c r="E99" s="34"/>
      <c r="F99" s="34"/>
      <c r="G99" s="35"/>
      <c r="H99" s="34"/>
      <c r="I99" s="5" t="str">
        <f t="shared" si="5"/>
        <v/>
      </c>
      <c r="J99" s="12" t="str">
        <f t="shared" si="6"/>
        <v/>
      </c>
      <c r="K99" s="37" t="str">
        <f>IF(A99="","",Inputs!$B$11-B99)</f>
        <v/>
      </c>
      <c r="L99" s="5" t="str">
        <f>IF(A99="","",IF(I99&lt;=0,"Sold out",IF(K99&gt;=Inputs!$B$18,"Dead",IF(K99&gt;=Inputs!$B$17,"Ageing",IF(K99&gt;=Inputs!$B$16,"Watch","Fresh")))))</f>
        <v/>
      </c>
      <c r="M99" s="5" t="str">
        <f t="shared" si="7"/>
        <v/>
      </c>
      <c r="N99" s="12" t="str">
        <f t="shared" si="8"/>
        <v/>
      </c>
      <c r="O99" s="36" t="str">
        <f t="shared" si="9"/>
        <v/>
      </c>
    </row>
    <row r="100" spans="1:15" x14ac:dyDescent="0.25">
      <c r="A100" s="34"/>
      <c r="B100" s="33"/>
      <c r="C100" s="34"/>
      <c r="D100" s="34"/>
      <c r="E100" s="34"/>
      <c r="F100" s="34"/>
      <c r="G100" s="35"/>
      <c r="H100" s="34"/>
      <c r="I100" s="5" t="str">
        <f t="shared" si="5"/>
        <v/>
      </c>
      <c r="J100" s="12" t="str">
        <f t="shared" si="6"/>
        <v/>
      </c>
      <c r="K100" s="37" t="str">
        <f>IF(A100="","",Inputs!$B$11-B100)</f>
        <v/>
      </c>
      <c r="L100" s="5" t="str">
        <f>IF(A100="","",IF(I100&lt;=0,"Sold out",IF(K100&gt;=Inputs!$B$18,"Dead",IF(K100&gt;=Inputs!$B$17,"Ageing",IF(K100&gt;=Inputs!$B$16,"Watch","Fresh")))))</f>
        <v/>
      </c>
      <c r="M100" s="5" t="str">
        <f t="shared" si="7"/>
        <v/>
      </c>
      <c r="N100" s="12" t="str">
        <f t="shared" si="8"/>
        <v/>
      </c>
      <c r="O100" s="36" t="str">
        <f t="shared" si="9"/>
        <v/>
      </c>
    </row>
    <row r="101" spans="1:15" x14ac:dyDescent="0.25">
      <c r="A101" s="34"/>
      <c r="B101" s="33"/>
      <c r="C101" s="34"/>
      <c r="D101" s="34"/>
      <c r="E101" s="34"/>
      <c r="F101" s="34"/>
      <c r="G101" s="35"/>
      <c r="H101" s="34"/>
      <c r="I101" s="5" t="str">
        <f t="shared" si="5"/>
        <v/>
      </c>
      <c r="J101" s="12" t="str">
        <f t="shared" si="6"/>
        <v/>
      </c>
      <c r="K101" s="37" t="str">
        <f>IF(A101="","",Inputs!$B$11-B101)</f>
        <v/>
      </c>
      <c r="L101" s="5" t="str">
        <f>IF(A101="","",IF(I101&lt;=0,"Sold out",IF(K101&gt;=Inputs!$B$18,"Dead",IF(K101&gt;=Inputs!$B$17,"Ageing",IF(K101&gt;=Inputs!$B$16,"Watch","Fresh")))))</f>
        <v/>
      </c>
      <c r="M101" s="5" t="str">
        <f t="shared" si="7"/>
        <v/>
      </c>
      <c r="N101" s="12" t="str">
        <f t="shared" si="8"/>
        <v/>
      </c>
      <c r="O101" s="36" t="str">
        <f t="shared" si="9"/>
        <v/>
      </c>
    </row>
    <row r="102" spans="1:15" x14ac:dyDescent="0.25">
      <c r="A102" s="34"/>
      <c r="B102" s="33"/>
      <c r="C102" s="34"/>
      <c r="D102" s="34"/>
      <c r="E102" s="34"/>
      <c r="F102" s="34"/>
      <c r="G102" s="35"/>
      <c r="H102" s="34"/>
      <c r="I102" s="5" t="str">
        <f t="shared" si="5"/>
        <v/>
      </c>
      <c r="J102" s="12" t="str">
        <f t="shared" si="6"/>
        <v/>
      </c>
      <c r="K102" s="37" t="str">
        <f>IF(A102="","",Inputs!$B$11-B102)</f>
        <v/>
      </c>
      <c r="L102" s="5" t="str">
        <f>IF(A102="","",IF(I102&lt;=0,"Sold out",IF(K102&gt;=Inputs!$B$18,"Dead",IF(K102&gt;=Inputs!$B$17,"Ageing",IF(K102&gt;=Inputs!$B$16,"Watch","Fresh")))))</f>
        <v/>
      </c>
      <c r="M102" s="5" t="str">
        <f t="shared" si="7"/>
        <v/>
      </c>
      <c r="N102" s="12" t="str">
        <f t="shared" si="8"/>
        <v/>
      </c>
      <c r="O102" s="36" t="str">
        <f t="shared" si="9"/>
        <v/>
      </c>
    </row>
    <row r="103" spans="1:15" x14ac:dyDescent="0.25">
      <c r="A103" s="34"/>
      <c r="B103" s="33"/>
      <c r="C103" s="34"/>
      <c r="D103" s="34"/>
      <c r="E103" s="34"/>
      <c r="F103" s="34"/>
      <c r="G103" s="35"/>
      <c r="H103" s="34"/>
      <c r="I103" s="5" t="str">
        <f t="shared" si="5"/>
        <v/>
      </c>
      <c r="J103" s="12" t="str">
        <f t="shared" si="6"/>
        <v/>
      </c>
      <c r="K103" s="37" t="str">
        <f>IF(A103="","",Inputs!$B$11-B103)</f>
        <v/>
      </c>
      <c r="L103" s="5" t="str">
        <f>IF(A103="","",IF(I103&lt;=0,"Sold out",IF(K103&gt;=Inputs!$B$18,"Dead",IF(K103&gt;=Inputs!$B$17,"Ageing",IF(K103&gt;=Inputs!$B$16,"Watch","Fresh")))))</f>
        <v/>
      </c>
      <c r="M103" s="5" t="str">
        <f t="shared" si="7"/>
        <v/>
      </c>
      <c r="N103" s="12" t="str">
        <f t="shared" si="8"/>
        <v/>
      </c>
      <c r="O103" s="36" t="str">
        <f t="shared" si="9"/>
        <v/>
      </c>
    </row>
    <row r="104" spans="1:15" x14ac:dyDescent="0.25">
      <c r="A104" s="34"/>
      <c r="B104" s="33"/>
      <c r="C104" s="34"/>
      <c r="D104" s="34"/>
      <c r="E104" s="34"/>
      <c r="F104" s="34"/>
      <c r="G104" s="35"/>
      <c r="H104" s="34"/>
      <c r="I104" s="5" t="str">
        <f t="shared" si="5"/>
        <v/>
      </c>
      <c r="J104" s="12" t="str">
        <f t="shared" si="6"/>
        <v/>
      </c>
      <c r="K104" s="37" t="str">
        <f>IF(A104="","",Inputs!$B$11-B104)</f>
        <v/>
      </c>
      <c r="L104" s="5" t="str">
        <f>IF(A104="","",IF(I104&lt;=0,"Sold out",IF(K104&gt;=Inputs!$B$18,"Dead",IF(K104&gt;=Inputs!$B$17,"Ageing",IF(K104&gt;=Inputs!$B$16,"Watch","Fresh")))))</f>
        <v/>
      </c>
      <c r="M104" s="5" t="str">
        <f t="shared" si="7"/>
        <v/>
      </c>
      <c r="N104" s="12" t="str">
        <f t="shared" si="8"/>
        <v/>
      </c>
      <c r="O104" s="36" t="str">
        <f t="shared" si="9"/>
        <v/>
      </c>
    </row>
    <row r="105" spans="1:15" x14ac:dyDescent="0.25">
      <c r="A105" s="34"/>
      <c r="B105" s="33"/>
      <c r="C105" s="34"/>
      <c r="D105" s="34"/>
      <c r="E105" s="34"/>
      <c r="F105" s="34"/>
      <c r="G105" s="35"/>
      <c r="H105" s="34"/>
      <c r="I105" s="5" t="str">
        <f t="shared" si="5"/>
        <v/>
      </c>
      <c r="J105" s="12" t="str">
        <f t="shared" si="6"/>
        <v/>
      </c>
      <c r="K105" s="37" t="str">
        <f>IF(A105="","",Inputs!$B$11-B105)</f>
        <v/>
      </c>
      <c r="L105" s="5" t="str">
        <f>IF(A105="","",IF(I105&lt;=0,"Sold out",IF(K105&gt;=Inputs!$B$18,"Dead",IF(K105&gt;=Inputs!$B$17,"Ageing",IF(K105&gt;=Inputs!$B$16,"Watch","Fresh")))))</f>
        <v/>
      </c>
      <c r="M105" s="5" t="str">
        <f t="shared" si="7"/>
        <v/>
      </c>
      <c r="N105" s="12" t="str">
        <f t="shared" si="8"/>
        <v/>
      </c>
      <c r="O105" s="36" t="str">
        <f t="shared" si="9"/>
        <v/>
      </c>
    </row>
    <row r="106" spans="1:15" x14ac:dyDescent="0.25">
      <c r="A106" s="34"/>
      <c r="B106" s="33"/>
      <c r="C106" s="34"/>
      <c r="D106" s="34"/>
      <c r="E106" s="34"/>
      <c r="F106" s="34"/>
      <c r="G106" s="35"/>
      <c r="H106" s="34"/>
      <c r="I106" s="5" t="str">
        <f t="shared" si="5"/>
        <v/>
      </c>
      <c r="J106" s="12" t="str">
        <f t="shared" si="6"/>
        <v/>
      </c>
      <c r="K106" s="37" t="str">
        <f>IF(A106="","",Inputs!$B$11-B106)</f>
        <v/>
      </c>
      <c r="L106" s="5" t="str">
        <f>IF(A106="","",IF(I106&lt;=0,"Sold out",IF(K106&gt;=Inputs!$B$18,"Dead",IF(K106&gt;=Inputs!$B$17,"Ageing",IF(K106&gt;=Inputs!$B$16,"Watch","Fresh")))))</f>
        <v/>
      </c>
      <c r="M106" s="5" t="str">
        <f t="shared" si="7"/>
        <v/>
      </c>
      <c r="N106" s="12" t="str">
        <f t="shared" si="8"/>
        <v/>
      </c>
      <c r="O106" s="36" t="str">
        <f t="shared" si="9"/>
        <v/>
      </c>
    </row>
    <row r="107" spans="1:15" x14ac:dyDescent="0.25">
      <c r="A107" s="34"/>
      <c r="B107" s="33"/>
      <c r="C107" s="34"/>
      <c r="D107" s="34"/>
      <c r="E107" s="34"/>
      <c r="F107" s="34"/>
      <c r="G107" s="35"/>
      <c r="H107" s="34"/>
      <c r="I107" s="5" t="str">
        <f t="shared" si="5"/>
        <v/>
      </c>
      <c r="J107" s="12" t="str">
        <f t="shared" si="6"/>
        <v/>
      </c>
      <c r="K107" s="37" t="str">
        <f>IF(A107="","",Inputs!$B$11-B107)</f>
        <v/>
      </c>
      <c r="L107" s="5" t="str">
        <f>IF(A107="","",IF(I107&lt;=0,"Sold out",IF(K107&gt;=Inputs!$B$18,"Dead",IF(K107&gt;=Inputs!$B$17,"Ageing",IF(K107&gt;=Inputs!$B$16,"Watch","Fresh")))))</f>
        <v/>
      </c>
      <c r="M107" s="5" t="str">
        <f t="shared" si="7"/>
        <v/>
      </c>
      <c r="N107" s="12" t="str">
        <f t="shared" si="8"/>
        <v/>
      </c>
      <c r="O107" s="36" t="str">
        <f t="shared" si="9"/>
        <v/>
      </c>
    </row>
    <row r="108" spans="1:15" x14ac:dyDescent="0.25">
      <c r="A108" s="34"/>
      <c r="B108" s="33"/>
      <c r="C108" s="34"/>
      <c r="D108" s="34"/>
      <c r="E108" s="34"/>
      <c r="F108" s="34"/>
      <c r="G108" s="35"/>
      <c r="H108" s="34"/>
      <c r="I108" s="5" t="str">
        <f t="shared" si="5"/>
        <v/>
      </c>
      <c r="J108" s="12" t="str">
        <f t="shared" si="6"/>
        <v/>
      </c>
      <c r="K108" s="37" t="str">
        <f>IF(A108="","",Inputs!$B$11-B108)</f>
        <v/>
      </c>
      <c r="L108" s="5" t="str">
        <f>IF(A108="","",IF(I108&lt;=0,"Sold out",IF(K108&gt;=Inputs!$B$18,"Dead",IF(K108&gt;=Inputs!$B$17,"Ageing",IF(K108&gt;=Inputs!$B$16,"Watch","Fresh")))))</f>
        <v/>
      </c>
      <c r="M108" s="5" t="str">
        <f t="shared" si="7"/>
        <v/>
      </c>
      <c r="N108" s="12" t="str">
        <f t="shared" si="8"/>
        <v/>
      </c>
      <c r="O108" s="36" t="str">
        <f t="shared" si="9"/>
        <v/>
      </c>
    </row>
    <row r="109" spans="1:15" x14ac:dyDescent="0.25">
      <c r="A109" s="34"/>
      <c r="B109" s="33"/>
      <c r="C109" s="34"/>
      <c r="D109" s="34"/>
      <c r="E109" s="34"/>
      <c r="F109" s="34"/>
      <c r="G109" s="35"/>
      <c r="H109" s="34"/>
      <c r="I109" s="5" t="str">
        <f t="shared" si="5"/>
        <v/>
      </c>
      <c r="J109" s="12" t="str">
        <f t="shared" si="6"/>
        <v/>
      </c>
      <c r="K109" s="37" t="str">
        <f>IF(A109="","",Inputs!$B$11-B109)</f>
        <v/>
      </c>
      <c r="L109" s="5" t="str">
        <f>IF(A109="","",IF(I109&lt;=0,"Sold out",IF(K109&gt;=Inputs!$B$18,"Dead",IF(K109&gt;=Inputs!$B$17,"Ageing",IF(K109&gt;=Inputs!$B$16,"Watch","Fresh")))))</f>
        <v/>
      </c>
      <c r="M109" s="5" t="str">
        <f t="shared" si="7"/>
        <v/>
      </c>
      <c r="N109" s="12" t="str">
        <f t="shared" si="8"/>
        <v/>
      </c>
      <c r="O109" s="36" t="str">
        <f t="shared" si="9"/>
        <v/>
      </c>
    </row>
    <row r="110" spans="1:15" x14ac:dyDescent="0.25">
      <c r="A110" s="34"/>
      <c r="B110" s="33"/>
      <c r="C110" s="34"/>
      <c r="D110" s="34"/>
      <c r="E110" s="34"/>
      <c r="F110" s="34"/>
      <c r="G110" s="35"/>
      <c r="H110" s="34"/>
      <c r="I110" s="5" t="str">
        <f t="shared" si="5"/>
        <v/>
      </c>
      <c r="J110" s="12" t="str">
        <f t="shared" si="6"/>
        <v/>
      </c>
      <c r="K110" s="37" t="str">
        <f>IF(A110="","",Inputs!$B$11-B110)</f>
        <v/>
      </c>
      <c r="L110" s="5" t="str">
        <f>IF(A110="","",IF(I110&lt;=0,"Sold out",IF(K110&gt;=Inputs!$B$18,"Dead",IF(K110&gt;=Inputs!$B$17,"Ageing",IF(K110&gt;=Inputs!$B$16,"Watch","Fresh")))))</f>
        <v/>
      </c>
      <c r="M110" s="5" t="str">
        <f t="shared" si="7"/>
        <v/>
      </c>
      <c r="N110" s="12" t="str">
        <f t="shared" si="8"/>
        <v/>
      </c>
      <c r="O110" s="36" t="str">
        <f t="shared" si="9"/>
        <v/>
      </c>
    </row>
    <row r="111" spans="1:15" x14ac:dyDescent="0.25">
      <c r="A111" s="34"/>
      <c r="B111" s="33"/>
      <c r="C111" s="34"/>
      <c r="D111" s="34"/>
      <c r="E111" s="34"/>
      <c r="F111" s="34"/>
      <c r="G111" s="35"/>
      <c r="H111" s="34"/>
      <c r="I111" s="5" t="str">
        <f t="shared" si="5"/>
        <v/>
      </c>
      <c r="J111" s="12" t="str">
        <f t="shared" si="6"/>
        <v/>
      </c>
      <c r="K111" s="37" t="str">
        <f>IF(A111="","",Inputs!$B$11-B111)</f>
        <v/>
      </c>
      <c r="L111" s="5" t="str">
        <f>IF(A111="","",IF(I111&lt;=0,"Sold out",IF(K111&gt;=Inputs!$B$18,"Dead",IF(K111&gt;=Inputs!$B$17,"Ageing",IF(K111&gt;=Inputs!$B$16,"Watch","Fresh")))))</f>
        <v/>
      </c>
      <c r="M111" s="5" t="str">
        <f t="shared" si="7"/>
        <v/>
      </c>
      <c r="N111" s="12" t="str">
        <f t="shared" si="8"/>
        <v/>
      </c>
      <c r="O111" s="36" t="str">
        <f t="shared" si="9"/>
        <v/>
      </c>
    </row>
    <row r="112" spans="1:15" x14ac:dyDescent="0.25">
      <c r="A112" s="34"/>
      <c r="B112" s="33"/>
      <c r="C112" s="34"/>
      <c r="D112" s="34"/>
      <c r="E112" s="34"/>
      <c r="F112" s="34"/>
      <c r="G112" s="35"/>
      <c r="H112" s="34"/>
      <c r="I112" s="5" t="str">
        <f t="shared" si="5"/>
        <v/>
      </c>
      <c r="J112" s="12" t="str">
        <f t="shared" si="6"/>
        <v/>
      </c>
      <c r="K112" s="37" t="str">
        <f>IF(A112="","",Inputs!$B$11-B112)</f>
        <v/>
      </c>
      <c r="L112" s="5" t="str">
        <f>IF(A112="","",IF(I112&lt;=0,"Sold out",IF(K112&gt;=Inputs!$B$18,"Dead",IF(K112&gt;=Inputs!$B$17,"Ageing",IF(K112&gt;=Inputs!$B$16,"Watch","Fresh")))))</f>
        <v/>
      </c>
      <c r="M112" s="5" t="str">
        <f t="shared" si="7"/>
        <v/>
      </c>
      <c r="N112" s="12" t="str">
        <f t="shared" si="8"/>
        <v/>
      </c>
      <c r="O112" s="36" t="str">
        <f t="shared" si="9"/>
        <v/>
      </c>
    </row>
    <row r="113" spans="1:15" x14ac:dyDescent="0.25">
      <c r="A113" s="34"/>
      <c r="B113" s="33"/>
      <c r="C113" s="34"/>
      <c r="D113" s="34"/>
      <c r="E113" s="34"/>
      <c r="F113" s="34"/>
      <c r="G113" s="35"/>
      <c r="H113" s="34"/>
      <c r="I113" s="5" t="str">
        <f t="shared" si="5"/>
        <v/>
      </c>
      <c r="J113" s="12" t="str">
        <f t="shared" si="6"/>
        <v/>
      </c>
      <c r="K113" s="37" t="str">
        <f>IF(A113="","",Inputs!$B$11-B113)</f>
        <v/>
      </c>
      <c r="L113" s="5" t="str">
        <f>IF(A113="","",IF(I113&lt;=0,"Sold out",IF(K113&gt;=Inputs!$B$18,"Dead",IF(K113&gt;=Inputs!$B$17,"Ageing",IF(K113&gt;=Inputs!$B$16,"Watch","Fresh")))))</f>
        <v/>
      </c>
      <c r="M113" s="5" t="str">
        <f t="shared" si="7"/>
        <v/>
      </c>
      <c r="N113" s="12" t="str">
        <f t="shared" si="8"/>
        <v/>
      </c>
      <c r="O113" s="36" t="str">
        <f t="shared" si="9"/>
        <v/>
      </c>
    </row>
    <row r="114" spans="1:15" x14ac:dyDescent="0.25">
      <c r="A114" s="34"/>
      <c r="B114" s="33"/>
      <c r="C114" s="34"/>
      <c r="D114" s="34"/>
      <c r="E114" s="34"/>
      <c r="F114" s="34"/>
      <c r="G114" s="35"/>
      <c r="H114" s="34"/>
      <c r="I114" s="5" t="str">
        <f t="shared" si="5"/>
        <v/>
      </c>
      <c r="J114" s="12" t="str">
        <f t="shared" si="6"/>
        <v/>
      </c>
      <c r="K114" s="37" t="str">
        <f>IF(A114="","",Inputs!$B$11-B114)</f>
        <v/>
      </c>
      <c r="L114" s="5" t="str">
        <f>IF(A114="","",IF(I114&lt;=0,"Sold out",IF(K114&gt;=Inputs!$B$18,"Dead",IF(K114&gt;=Inputs!$B$17,"Ageing",IF(K114&gt;=Inputs!$B$16,"Watch","Fresh")))))</f>
        <v/>
      </c>
      <c r="M114" s="5" t="str">
        <f t="shared" si="7"/>
        <v/>
      </c>
      <c r="N114" s="12" t="str">
        <f t="shared" si="8"/>
        <v/>
      </c>
      <c r="O114" s="36" t="str">
        <f t="shared" si="9"/>
        <v/>
      </c>
    </row>
    <row r="115" spans="1:15" x14ac:dyDescent="0.25">
      <c r="A115" s="34"/>
      <c r="B115" s="33"/>
      <c r="C115" s="34"/>
      <c r="D115" s="34"/>
      <c r="E115" s="34"/>
      <c r="F115" s="34"/>
      <c r="G115" s="35"/>
      <c r="H115" s="34"/>
      <c r="I115" s="5" t="str">
        <f t="shared" si="5"/>
        <v/>
      </c>
      <c r="J115" s="12" t="str">
        <f t="shared" si="6"/>
        <v/>
      </c>
      <c r="K115" s="37" t="str">
        <f>IF(A115="","",Inputs!$B$11-B115)</f>
        <v/>
      </c>
      <c r="L115" s="5" t="str">
        <f>IF(A115="","",IF(I115&lt;=0,"Sold out",IF(K115&gt;=Inputs!$B$18,"Dead",IF(K115&gt;=Inputs!$B$17,"Ageing",IF(K115&gt;=Inputs!$B$16,"Watch","Fresh")))))</f>
        <v/>
      </c>
      <c r="M115" s="5" t="str">
        <f t="shared" si="7"/>
        <v/>
      </c>
      <c r="N115" s="12" t="str">
        <f t="shared" si="8"/>
        <v/>
      </c>
      <c r="O115" s="36" t="str">
        <f t="shared" si="9"/>
        <v/>
      </c>
    </row>
    <row r="116" spans="1:15" x14ac:dyDescent="0.25">
      <c r="A116" s="34"/>
      <c r="B116" s="33"/>
      <c r="C116" s="34"/>
      <c r="D116" s="34"/>
      <c r="E116" s="34"/>
      <c r="F116" s="34"/>
      <c r="G116" s="35"/>
      <c r="H116" s="34"/>
      <c r="I116" s="5" t="str">
        <f t="shared" si="5"/>
        <v/>
      </c>
      <c r="J116" s="12" t="str">
        <f t="shared" si="6"/>
        <v/>
      </c>
      <c r="K116" s="37" t="str">
        <f>IF(A116="","",Inputs!$B$11-B116)</f>
        <v/>
      </c>
      <c r="L116" s="5" t="str">
        <f>IF(A116="","",IF(I116&lt;=0,"Sold out",IF(K116&gt;=Inputs!$B$18,"Dead",IF(K116&gt;=Inputs!$B$17,"Ageing",IF(K116&gt;=Inputs!$B$16,"Watch","Fresh")))))</f>
        <v/>
      </c>
      <c r="M116" s="5" t="str">
        <f t="shared" si="7"/>
        <v/>
      </c>
      <c r="N116" s="12" t="str">
        <f t="shared" si="8"/>
        <v/>
      </c>
      <c r="O116" s="36" t="str">
        <f t="shared" si="9"/>
        <v/>
      </c>
    </row>
    <row r="117" spans="1:15" x14ac:dyDescent="0.25">
      <c r="A117" s="34"/>
      <c r="B117" s="33"/>
      <c r="C117" s="34"/>
      <c r="D117" s="34"/>
      <c r="E117" s="34"/>
      <c r="F117" s="34"/>
      <c r="G117" s="35"/>
      <c r="H117" s="34"/>
      <c r="I117" s="5" t="str">
        <f t="shared" si="5"/>
        <v/>
      </c>
      <c r="J117" s="12" t="str">
        <f t="shared" si="6"/>
        <v/>
      </c>
      <c r="K117" s="37" t="str">
        <f>IF(A117="","",Inputs!$B$11-B117)</f>
        <v/>
      </c>
      <c r="L117" s="5" t="str">
        <f>IF(A117="","",IF(I117&lt;=0,"Sold out",IF(K117&gt;=Inputs!$B$18,"Dead",IF(K117&gt;=Inputs!$B$17,"Ageing",IF(K117&gt;=Inputs!$B$16,"Watch","Fresh")))))</f>
        <v/>
      </c>
      <c r="M117" s="5" t="str">
        <f t="shared" si="7"/>
        <v/>
      </c>
      <c r="N117" s="12" t="str">
        <f t="shared" si="8"/>
        <v/>
      </c>
      <c r="O117" s="36" t="str">
        <f t="shared" si="9"/>
        <v/>
      </c>
    </row>
    <row r="118" spans="1:15" x14ac:dyDescent="0.25">
      <c r="A118" s="34"/>
      <c r="B118" s="33"/>
      <c r="C118" s="34"/>
      <c r="D118" s="34"/>
      <c r="E118" s="34"/>
      <c r="F118" s="34"/>
      <c r="G118" s="35"/>
      <c r="H118" s="34"/>
      <c r="I118" s="5" t="str">
        <f t="shared" si="5"/>
        <v/>
      </c>
      <c r="J118" s="12" t="str">
        <f t="shared" si="6"/>
        <v/>
      </c>
      <c r="K118" s="37" t="str">
        <f>IF(A118="","",Inputs!$B$11-B118)</f>
        <v/>
      </c>
      <c r="L118" s="5" t="str">
        <f>IF(A118="","",IF(I118&lt;=0,"Sold out",IF(K118&gt;=Inputs!$B$18,"Dead",IF(K118&gt;=Inputs!$B$17,"Ageing",IF(K118&gt;=Inputs!$B$16,"Watch","Fresh")))))</f>
        <v/>
      </c>
      <c r="M118" s="5" t="str">
        <f t="shared" si="7"/>
        <v/>
      </c>
      <c r="N118" s="12" t="str">
        <f t="shared" si="8"/>
        <v/>
      </c>
      <c r="O118" s="36" t="str">
        <f t="shared" si="9"/>
        <v/>
      </c>
    </row>
    <row r="119" spans="1:15" x14ac:dyDescent="0.25">
      <c r="A119" s="34"/>
      <c r="B119" s="33"/>
      <c r="C119" s="34"/>
      <c r="D119" s="34"/>
      <c r="E119" s="34"/>
      <c r="F119" s="34"/>
      <c r="G119" s="35"/>
      <c r="H119" s="34"/>
      <c r="I119" s="5" t="str">
        <f t="shared" si="5"/>
        <v/>
      </c>
      <c r="J119" s="12" t="str">
        <f t="shared" si="6"/>
        <v/>
      </c>
      <c r="K119" s="37" t="str">
        <f>IF(A119="","",Inputs!$B$11-B119)</f>
        <v/>
      </c>
      <c r="L119" s="5" t="str">
        <f>IF(A119="","",IF(I119&lt;=0,"Sold out",IF(K119&gt;=Inputs!$B$18,"Dead",IF(K119&gt;=Inputs!$B$17,"Ageing",IF(K119&gt;=Inputs!$B$16,"Watch","Fresh")))))</f>
        <v/>
      </c>
      <c r="M119" s="5" t="str">
        <f t="shared" si="7"/>
        <v/>
      </c>
      <c r="N119" s="12" t="str">
        <f t="shared" si="8"/>
        <v/>
      </c>
      <c r="O119" s="36" t="str">
        <f t="shared" si="9"/>
        <v/>
      </c>
    </row>
    <row r="120" spans="1:15" x14ac:dyDescent="0.25">
      <c r="A120" s="34"/>
      <c r="B120" s="33"/>
      <c r="C120" s="34"/>
      <c r="D120" s="34"/>
      <c r="E120" s="34"/>
      <c r="F120" s="34"/>
      <c r="G120" s="35"/>
      <c r="H120" s="34"/>
      <c r="I120" s="5" t="str">
        <f t="shared" si="5"/>
        <v/>
      </c>
      <c r="J120" s="12" t="str">
        <f t="shared" si="6"/>
        <v/>
      </c>
      <c r="K120" s="37" t="str">
        <f>IF(A120="","",Inputs!$B$11-B120)</f>
        <v/>
      </c>
      <c r="L120" s="5" t="str">
        <f>IF(A120="","",IF(I120&lt;=0,"Sold out",IF(K120&gt;=Inputs!$B$18,"Dead",IF(K120&gt;=Inputs!$B$17,"Ageing",IF(K120&gt;=Inputs!$B$16,"Watch","Fresh")))))</f>
        <v/>
      </c>
      <c r="M120" s="5" t="str">
        <f t="shared" si="7"/>
        <v/>
      </c>
      <c r="N120" s="12" t="str">
        <f t="shared" si="8"/>
        <v/>
      </c>
      <c r="O120" s="36" t="str">
        <f t="shared" si="9"/>
        <v/>
      </c>
    </row>
    <row r="121" spans="1:15" x14ac:dyDescent="0.25">
      <c r="A121" s="34"/>
      <c r="B121" s="33"/>
      <c r="C121" s="34"/>
      <c r="D121" s="34"/>
      <c r="E121" s="34"/>
      <c r="F121" s="34"/>
      <c r="G121" s="35"/>
      <c r="H121" s="34"/>
      <c r="I121" s="5" t="str">
        <f t="shared" si="5"/>
        <v/>
      </c>
      <c r="J121" s="12" t="str">
        <f t="shared" si="6"/>
        <v/>
      </c>
      <c r="K121" s="37" t="str">
        <f>IF(A121="","",Inputs!$B$11-B121)</f>
        <v/>
      </c>
      <c r="L121" s="5" t="str">
        <f>IF(A121="","",IF(I121&lt;=0,"Sold out",IF(K121&gt;=Inputs!$B$18,"Dead",IF(K121&gt;=Inputs!$B$17,"Ageing",IF(K121&gt;=Inputs!$B$16,"Watch","Fresh")))))</f>
        <v/>
      </c>
      <c r="M121" s="5" t="str">
        <f t="shared" si="7"/>
        <v/>
      </c>
      <c r="N121" s="12" t="str">
        <f t="shared" si="8"/>
        <v/>
      </c>
      <c r="O121" s="36" t="str">
        <f t="shared" si="9"/>
        <v/>
      </c>
    </row>
    <row r="122" spans="1:15" x14ac:dyDescent="0.25">
      <c r="A122" s="34"/>
      <c r="B122" s="33"/>
      <c r="C122" s="34"/>
      <c r="D122" s="34"/>
      <c r="E122" s="34"/>
      <c r="F122" s="34"/>
      <c r="G122" s="35"/>
      <c r="H122" s="34"/>
      <c r="I122" s="5" t="str">
        <f t="shared" si="5"/>
        <v/>
      </c>
      <c r="J122" s="12" t="str">
        <f t="shared" si="6"/>
        <v/>
      </c>
      <c r="K122" s="37" t="str">
        <f>IF(A122="","",Inputs!$B$11-B122)</f>
        <v/>
      </c>
      <c r="L122" s="5" t="str">
        <f>IF(A122="","",IF(I122&lt;=0,"Sold out",IF(K122&gt;=Inputs!$B$18,"Dead",IF(K122&gt;=Inputs!$B$17,"Ageing",IF(K122&gt;=Inputs!$B$16,"Watch","Fresh")))))</f>
        <v/>
      </c>
      <c r="M122" s="5" t="str">
        <f t="shared" si="7"/>
        <v/>
      </c>
      <c r="N122" s="12" t="str">
        <f t="shared" si="8"/>
        <v/>
      </c>
      <c r="O122" s="36" t="str">
        <f t="shared" si="9"/>
        <v/>
      </c>
    </row>
    <row r="123" spans="1:15" x14ac:dyDescent="0.25">
      <c r="A123" s="34"/>
      <c r="B123" s="33"/>
      <c r="C123" s="34"/>
      <c r="D123" s="34"/>
      <c r="E123" s="34"/>
      <c r="F123" s="34"/>
      <c r="G123" s="35"/>
      <c r="H123" s="34"/>
      <c r="I123" s="5" t="str">
        <f t="shared" si="5"/>
        <v/>
      </c>
      <c r="J123" s="12" t="str">
        <f t="shared" si="6"/>
        <v/>
      </c>
      <c r="K123" s="37" t="str">
        <f>IF(A123="","",Inputs!$B$11-B123)</f>
        <v/>
      </c>
      <c r="L123" s="5" t="str">
        <f>IF(A123="","",IF(I123&lt;=0,"Sold out",IF(K123&gt;=Inputs!$B$18,"Dead",IF(K123&gt;=Inputs!$B$17,"Ageing",IF(K123&gt;=Inputs!$B$16,"Watch","Fresh")))))</f>
        <v/>
      </c>
      <c r="M123" s="5" t="str">
        <f t="shared" si="7"/>
        <v/>
      </c>
      <c r="N123" s="12" t="str">
        <f t="shared" si="8"/>
        <v/>
      </c>
      <c r="O123" s="36" t="str">
        <f t="shared" si="9"/>
        <v/>
      </c>
    </row>
    <row r="124" spans="1:15" x14ac:dyDescent="0.25">
      <c r="A124" s="34"/>
      <c r="B124" s="33"/>
      <c r="C124" s="34"/>
      <c r="D124" s="34"/>
      <c r="E124" s="34"/>
      <c r="F124" s="34"/>
      <c r="G124" s="35"/>
      <c r="H124" s="34"/>
      <c r="I124" s="5" t="str">
        <f t="shared" si="5"/>
        <v/>
      </c>
      <c r="J124" s="12" t="str">
        <f t="shared" si="6"/>
        <v/>
      </c>
      <c r="K124" s="37" t="str">
        <f>IF(A124="","",Inputs!$B$11-B124)</f>
        <v/>
      </c>
      <c r="L124" s="5" t="str">
        <f>IF(A124="","",IF(I124&lt;=0,"Sold out",IF(K124&gt;=Inputs!$B$18,"Dead",IF(K124&gt;=Inputs!$B$17,"Ageing",IF(K124&gt;=Inputs!$B$16,"Watch","Fresh")))))</f>
        <v/>
      </c>
      <c r="M124" s="5" t="str">
        <f t="shared" si="7"/>
        <v/>
      </c>
      <c r="N124" s="12" t="str">
        <f t="shared" si="8"/>
        <v/>
      </c>
      <c r="O124" s="36" t="str">
        <f t="shared" si="9"/>
        <v/>
      </c>
    </row>
    <row r="125" spans="1:15" x14ac:dyDescent="0.25">
      <c r="A125" s="34"/>
      <c r="B125" s="33"/>
      <c r="C125" s="34"/>
      <c r="D125" s="34"/>
      <c r="E125" s="34"/>
      <c r="F125" s="34"/>
      <c r="G125" s="35"/>
      <c r="H125" s="34"/>
      <c r="I125" s="5" t="str">
        <f t="shared" si="5"/>
        <v/>
      </c>
      <c r="J125" s="12" t="str">
        <f t="shared" si="6"/>
        <v/>
      </c>
      <c r="K125" s="37" t="str">
        <f>IF(A125="","",Inputs!$B$11-B125)</f>
        <v/>
      </c>
      <c r="L125" s="5" t="str">
        <f>IF(A125="","",IF(I125&lt;=0,"Sold out",IF(K125&gt;=Inputs!$B$18,"Dead",IF(K125&gt;=Inputs!$B$17,"Ageing",IF(K125&gt;=Inputs!$B$16,"Watch","Fresh")))))</f>
        <v/>
      </c>
      <c r="M125" s="5" t="str">
        <f t="shared" si="7"/>
        <v/>
      </c>
      <c r="N125" s="12" t="str">
        <f t="shared" si="8"/>
        <v/>
      </c>
      <c r="O125" s="36" t="str">
        <f t="shared" si="9"/>
        <v/>
      </c>
    </row>
    <row r="126" spans="1:15" x14ac:dyDescent="0.25">
      <c r="A126" s="34"/>
      <c r="B126" s="33"/>
      <c r="C126" s="34"/>
      <c r="D126" s="34"/>
      <c r="E126" s="34"/>
      <c r="F126" s="34"/>
      <c r="G126" s="35"/>
      <c r="H126" s="34"/>
      <c r="I126" s="5" t="str">
        <f t="shared" si="5"/>
        <v/>
      </c>
      <c r="J126" s="12" t="str">
        <f t="shared" si="6"/>
        <v/>
      </c>
      <c r="K126" s="37" t="str">
        <f>IF(A126="","",Inputs!$B$11-B126)</f>
        <v/>
      </c>
      <c r="L126" s="5" t="str">
        <f>IF(A126="","",IF(I126&lt;=0,"Sold out",IF(K126&gt;=Inputs!$B$18,"Dead",IF(K126&gt;=Inputs!$B$17,"Ageing",IF(K126&gt;=Inputs!$B$16,"Watch","Fresh")))))</f>
        <v/>
      </c>
      <c r="M126" s="5" t="str">
        <f t="shared" si="7"/>
        <v/>
      </c>
      <c r="N126" s="12" t="str">
        <f t="shared" si="8"/>
        <v/>
      </c>
      <c r="O126" s="36" t="str">
        <f t="shared" si="9"/>
        <v/>
      </c>
    </row>
    <row r="127" spans="1:15" x14ac:dyDescent="0.25">
      <c r="A127" s="34"/>
      <c r="B127" s="33"/>
      <c r="C127" s="34"/>
      <c r="D127" s="34"/>
      <c r="E127" s="34"/>
      <c r="F127" s="34"/>
      <c r="G127" s="35"/>
      <c r="H127" s="34"/>
      <c r="I127" s="5" t="str">
        <f t="shared" si="5"/>
        <v/>
      </c>
      <c r="J127" s="12" t="str">
        <f t="shared" si="6"/>
        <v/>
      </c>
      <c r="K127" s="37" t="str">
        <f>IF(A127="","",Inputs!$B$11-B127)</f>
        <v/>
      </c>
      <c r="L127" s="5" t="str">
        <f>IF(A127="","",IF(I127&lt;=0,"Sold out",IF(K127&gt;=Inputs!$B$18,"Dead",IF(K127&gt;=Inputs!$B$17,"Ageing",IF(K127&gt;=Inputs!$B$16,"Watch","Fresh")))))</f>
        <v/>
      </c>
      <c r="M127" s="5" t="str">
        <f t="shared" si="7"/>
        <v/>
      </c>
      <c r="N127" s="12" t="str">
        <f t="shared" si="8"/>
        <v/>
      </c>
      <c r="O127" s="36" t="str">
        <f t="shared" si="9"/>
        <v/>
      </c>
    </row>
    <row r="128" spans="1:15" x14ac:dyDescent="0.25">
      <c r="A128" s="34"/>
      <c r="B128" s="33"/>
      <c r="C128" s="34"/>
      <c r="D128" s="34"/>
      <c r="E128" s="34"/>
      <c r="F128" s="34"/>
      <c r="G128" s="35"/>
      <c r="H128" s="34"/>
      <c r="I128" s="5" t="str">
        <f t="shared" si="5"/>
        <v/>
      </c>
      <c r="J128" s="12" t="str">
        <f t="shared" si="6"/>
        <v/>
      </c>
      <c r="K128" s="37" t="str">
        <f>IF(A128="","",Inputs!$B$11-B128)</f>
        <v/>
      </c>
      <c r="L128" s="5" t="str">
        <f>IF(A128="","",IF(I128&lt;=0,"Sold out",IF(K128&gt;=Inputs!$B$18,"Dead",IF(K128&gt;=Inputs!$B$17,"Ageing",IF(K128&gt;=Inputs!$B$16,"Watch","Fresh")))))</f>
        <v/>
      </c>
      <c r="M128" s="5" t="str">
        <f t="shared" si="7"/>
        <v/>
      </c>
      <c r="N128" s="12" t="str">
        <f t="shared" si="8"/>
        <v/>
      </c>
      <c r="O128" s="36" t="str">
        <f t="shared" si="9"/>
        <v/>
      </c>
    </row>
    <row r="129" spans="1:15" x14ac:dyDescent="0.25">
      <c r="A129" s="34"/>
      <c r="B129" s="33"/>
      <c r="C129" s="34"/>
      <c r="D129" s="34"/>
      <c r="E129" s="34"/>
      <c r="F129" s="34"/>
      <c r="G129" s="35"/>
      <c r="H129" s="34"/>
      <c r="I129" s="5" t="str">
        <f t="shared" si="5"/>
        <v/>
      </c>
      <c r="J129" s="12" t="str">
        <f t="shared" si="6"/>
        <v/>
      </c>
      <c r="K129" s="37" t="str">
        <f>IF(A129="","",Inputs!$B$11-B129)</f>
        <v/>
      </c>
      <c r="L129" s="5" t="str">
        <f>IF(A129="","",IF(I129&lt;=0,"Sold out",IF(K129&gt;=Inputs!$B$18,"Dead",IF(K129&gt;=Inputs!$B$17,"Ageing",IF(K129&gt;=Inputs!$B$16,"Watch","Fresh")))))</f>
        <v/>
      </c>
      <c r="M129" s="5" t="str">
        <f t="shared" si="7"/>
        <v/>
      </c>
      <c r="N129" s="12" t="str">
        <f t="shared" si="8"/>
        <v/>
      </c>
      <c r="O129" s="36" t="str">
        <f t="shared" si="9"/>
        <v/>
      </c>
    </row>
    <row r="130" spans="1:15" x14ac:dyDescent="0.25">
      <c r="A130" s="34"/>
      <c r="B130" s="33"/>
      <c r="C130" s="34"/>
      <c r="D130" s="34"/>
      <c r="E130" s="34"/>
      <c r="F130" s="34"/>
      <c r="G130" s="35"/>
      <c r="H130" s="34"/>
      <c r="I130" s="5" t="str">
        <f t="shared" si="5"/>
        <v/>
      </c>
      <c r="J130" s="12" t="str">
        <f t="shared" si="6"/>
        <v/>
      </c>
      <c r="K130" s="37" t="str">
        <f>IF(A130="","",Inputs!$B$11-B130)</f>
        <v/>
      </c>
      <c r="L130" s="5" t="str">
        <f>IF(A130="","",IF(I130&lt;=0,"Sold out",IF(K130&gt;=Inputs!$B$18,"Dead",IF(K130&gt;=Inputs!$B$17,"Ageing",IF(K130&gt;=Inputs!$B$16,"Watch","Fresh")))))</f>
        <v/>
      </c>
      <c r="M130" s="5" t="str">
        <f t="shared" si="7"/>
        <v/>
      </c>
      <c r="N130" s="12" t="str">
        <f t="shared" si="8"/>
        <v/>
      </c>
      <c r="O130" s="36" t="str">
        <f t="shared" si="9"/>
        <v/>
      </c>
    </row>
    <row r="131" spans="1:15" x14ac:dyDescent="0.25">
      <c r="A131" s="34"/>
      <c r="B131" s="33"/>
      <c r="C131" s="34"/>
      <c r="D131" s="34"/>
      <c r="E131" s="34"/>
      <c r="F131" s="34"/>
      <c r="G131" s="35"/>
      <c r="H131" s="34"/>
      <c r="I131" s="5" t="str">
        <f t="shared" si="5"/>
        <v/>
      </c>
      <c r="J131" s="12" t="str">
        <f t="shared" si="6"/>
        <v/>
      </c>
      <c r="K131" s="37" t="str">
        <f>IF(A131="","",Inputs!$B$11-B131)</f>
        <v/>
      </c>
      <c r="L131" s="5" t="str">
        <f>IF(A131="","",IF(I131&lt;=0,"Sold out",IF(K131&gt;=Inputs!$B$18,"Dead",IF(K131&gt;=Inputs!$B$17,"Ageing",IF(K131&gt;=Inputs!$B$16,"Watch","Fresh")))))</f>
        <v/>
      </c>
      <c r="M131" s="5" t="str">
        <f t="shared" si="7"/>
        <v/>
      </c>
      <c r="N131" s="12" t="str">
        <f t="shared" si="8"/>
        <v/>
      </c>
      <c r="O131" s="36" t="str">
        <f t="shared" si="9"/>
        <v/>
      </c>
    </row>
    <row r="132" spans="1:15" x14ac:dyDescent="0.25">
      <c r="A132" s="34"/>
      <c r="B132" s="33"/>
      <c r="C132" s="34"/>
      <c r="D132" s="34"/>
      <c r="E132" s="34"/>
      <c r="F132" s="34"/>
      <c r="G132" s="35"/>
      <c r="H132" s="34"/>
      <c r="I132" s="5" t="str">
        <f t="shared" si="5"/>
        <v/>
      </c>
      <c r="J132" s="12" t="str">
        <f t="shared" si="6"/>
        <v/>
      </c>
      <c r="K132" s="37" t="str">
        <f>IF(A132="","",Inputs!$B$11-B132)</f>
        <v/>
      </c>
      <c r="L132" s="5" t="str">
        <f>IF(A132="","",IF(I132&lt;=0,"Sold out",IF(K132&gt;=Inputs!$B$18,"Dead",IF(K132&gt;=Inputs!$B$17,"Ageing",IF(K132&gt;=Inputs!$B$16,"Watch","Fresh")))))</f>
        <v/>
      </c>
      <c r="M132" s="5" t="str">
        <f t="shared" si="7"/>
        <v/>
      </c>
      <c r="N132" s="12" t="str">
        <f t="shared" si="8"/>
        <v/>
      </c>
      <c r="O132" s="36" t="str">
        <f t="shared" si="9"/>
        <v/>
      </c>
    </row>
    <row r="133" spans="1:15" x14ac:dyDescent="0.25">
      <c r="A133" s="34"/>
      <c r="B133" s="33"/>
      <c r="C133" s="34"/>
      <c r="D133" s="34"/>
      <c r="E133" s="34"/>
      <c r="F133" s="34"/>
      <c r="G133" s="35"/>
      <c r="H133" s="34"/>
      <c r="I133" s="5" t="str">
        <f t="shared" si="5"/>
        <v/>
      </c>
      <c r="J133" s="12" t="str">
        <f t="shared" si="6"/>
        <v/>
      </c>
      <c r="K133" s="37" t="str">
        <f>IF(A133="","",Inputs!$B$11-B133)</f>
        <v/>
      </c>
      <c r="L133" s="5" t="str">
        <f>IF(A133="","",IF(I133&lt;=0,"Sold out",IF(K133&gt;=Inputs!$B$18,"Dead",IF(K133&gt;=Inputs!$B$17,"Ageing",IF(K133&gt;=Inputs!$B$16,"Watch","Fresh")))))</f>
        <v/>
      </c>
      <c r="M133" s="5" t="str">
        <f t="shared" si="7"/>
        <v/>
      </c>
      <c r="N133" s="12" t="str">
        <f t="shared" si="8"/>
        <v/>
      </c>
      <c r="O133" s="36" t="str">
        <f t="shared" si="9"/>
        <v/>
      </c>
    </row>
    <row r="134" spans="1:15" x14ac:dyDescent="0.25">
      <c r="A134" s="34"/>
      <c r="B134" s="33"/>
      <c r="C134" s="34"/>
      <c r="D134" s="34"/>
      <c r="E134" s="34"/>
      <c r="F134" s="34"/>
      <c r="G134" s="35"/>
      <c r="H134" s="34"/>
      <c r="I134" s="5" t="str">
        <f t="shared" ref="I134:I197" si="10">IF(A134="","",F134-H134)</f>
        <v/>
      </c>
      <c r="J134" s="12" t="str">
        <f t="shared" ref="J134:J197" si="11">IF(A134="","",I134*G134)</f>
        <v/>
      </c>
      <c r="K134" s="37" t="str">
        <f>IF(A134="","",Inputs!$B$11-B134)</f>
        <v/>
      </c>
      <c r="L134" s="5" t="str">
        <f>IF(A134="","",IF(I134&lt;=0,"Sold out",IF(K134&gt;=Inputs!$B$18,"Dead",IF(K134&gt;=Inputs!$B$17,"Ageing",IF(K134&gt;=Inputs!$B$16,"Watch","Fresh")))))</f>
        <v/>
      </c>
      <c r="M134" s="5" t="str">
        <f t="shared" ref="M134:M197" si="12">IF(L134="","",IF(L134="Dead","Clearance / exchange with vendor",IF(L134="Ageing","Markdown 20-30%",IF(L134="Watch","Push in reels &amp; WhatsApp broadcast",IF(L134="Fresh","OK","-")))))</f>
        <v/>
      </c>
      <c r="N134" s="12" t="str">
        <f t="shared" ref="N134:N197" si="13">IF(A134="","",F134*G134)</f>
        <v/>
      </c>
      <c r="O134" s="36" t="str">
        <f t="shared" ref="O134:O197" si="14">IF(B134="","",DATE(YEAR(B134),MONTH(B134),1))</f>
        <v/>
      </c>
    </row>
    <row r="135" spans="1:15" x14ac:dyDescent="0.25">
      <c r="A135" s="34"/>
      <c r="B135" s="33"/>
      <c r="C135" s="34"/>
      <c r="D135" s="34"/>
      <c r="E135" s="34"/>
      <c r="F135" s="34"/>
      <c r="G135" s="35"/>
      <c r="H135" s="34"/>
      <c r="I135" s="5" t="str">
        <f t="shared" si="10"/>
        <v/>
      </c>
      <c r="J135" s="12" t="str">
        <f t="shared" si="11"/>
        <v/>
      </c>
      <c r="K135" s="37" t="str">
        <f>IF(A135="","",Inputs!$B$11-B135)</f>
        <v/>
      </c>
      <c r="L135" s="5" t="str">
        <f>IF(A135="","",IF(I135&lt;=0,"Sold out",IF(K135&gt;=Inputs!$B$18,"Dead",IF(K135&gt;=Inputs!$B$17,"Ageing",IF(K135&gt;=Inputs!$B$16,"Watch","Fresh")))))</f>
        <v/>
      </c>
      <c r="M135" s="5" t="str">
        <f t="shared" si="12"/>
        <v/>
      </c>
      <c r="N135" s="12" t="str">
        <f t="shared" si="13"/>
        <v/>
      </c>
      <c r="O135" s="36" t="str">
        <f t="shared" si="14"/>
        <v/>
      </c>
    </row>
    <row r="136" spans="1:15" x14ac:dyDescent="0.25">
      <c r="A136" s="34"/>
      <c r="B136" s="33"/>
      <c r="C136" s="34"/>
      <c r="D136" s="34"/>
      <c r="E136" s="34"/>
      <c r="F136" s="34"/>
      <c r="G136" s="35"/>
      <c r="H136" s="34"/>
      <c r="I136" s="5" t="str">
        <f t="shared" si="10"/>
        <v/>
      </c>
      <c r="J136" s="12" t="str">
        <f t="shared" si="11"/>
        <v/>
      </c>
      <c r="K136" s="37" t="str">
        <f>IF(A136="","",Inputs!$B$11-B136)</f>
        <v/>
      </c>
      <c r="L136" s="5" t="str">
        <f>IF(A136="","",IF(I136&lt;=0,"Sold out",IF(K136&gt;=Inputs!$B$18,"Dead",IF(K136&gt;=Inputs!$B$17,"Ageing",IF(K136&gt;=Inputs!$B$16,"Watch","Fresh")))))</f>
        <v/>
      </c>
      <c r="M136" s="5" t="str">
        <f t="shared" si="12"/>
        <v/>
      </c>
      <c r="N136" s="12" t="str">
        <f t="shared" si="13"/>
        <v/>
      </c>
      <c r="O136" s="36" t="str">
        <f t="shared" si="14"/>
        <v/>
      </c>
    </row>
    <row r="137" spans="1:15" x14ac:dyDescent="0.25">
      <c r="A137" s="34"/>
      <c r="B137" s="33"/>
      <c r="C137" s="34"/>
      <c r="D137" s="34"/>
      <c r="E137" s="34"/>
      <c r="F137" s="34"/>
      <c r="G137" s="35"/>
      <c r="H137" s="34"/>
      <c r="I137" s="5" t="str">
        <f t="shared" si="10"/>
        <v/>
      </c>
      <c r="J137" s="12" t="str">
        <f t="shared" si="11"/>
        <v/>
      </c>
      <c r="K137" s="37" t="str">
        <f>IF(A137="","",Inputs!$B$11-B137)</f>
        <v/>
      </c>
      <c r="L137" s="5" t="str">
        <f>IF(A137="","",IF(I137&lt;=0,"Sold out",IF(K137&gt;=Inputs!$B$18,"Dead",IF(K137&gt;=Inputs!$B$17,"Ageing",IF(K137&gt;=Inputs!$B$16,"Watch","Fresh")))))</f>
        <v/>
      </c>
      <c r="M137" s="5" t="str">
        <f t="shared" si="12"/>
        <v/>
      </c>
      <c r="N137" s="12" t="str">
        <f t="shared" si="13"/>
        <v/>
      </c>
      <c r="O137" s="36" t="str">
        <f t="shared" si="14"/>
        <v/>
      </c>
    </row>
    <row r="138" spans="1:15" x14ac:dyDescent="0.25">
      <c r="A138" s="34"/>
      <c r="B138" s="33"/>
      <c r="C138" s="34"/>
      <c r="D138" s="34"/>
      <c r="E138" s="34"/>
      <c r="F138" s="34"/>
      <c r="G138" s="35"/>
      <c r="H138" s="34"/>
      <c r="I138" s="5" t="str">
        <f t="shared" si="10"/>
        <v/>
      </c>
      <c r="J138" s="12" t="str">
        <f t="shared" si="11"/>
        <v/>
      </c>
      <c r="K138" s="37" t="str">
        <f>IF(A138="","",Inputs!$B$11-B138)</f>
        <v/>
      </c>
      <c r="L138" s="5" t="str">
        <f>IF(A138="","",IF(I138&lt;=0,"Sold out",IF(K138&gt;=Inputs!$B$18,"Dead",IF(K138&gt;=Inputs!$B$17,"Ageing",IF(K138&gt;=Inputs!$B$16,"Watch","Fresh")))))</f>
        <v/>
      </c>
      <c r="M138" s="5" t="str">
        <f t="shared" si="12"/>
        <v/>
      </c>
      <c r="N138" s="12" t="str">
        <f t="shared" si="13"/>
        <v/>
      </c>
      <c r="O138" s="36" t="str">
        <f t="shared" si="14"/>
        <v/>
      </c>
    </row>
    <row r="139" spans="1:15" x14ac:dyDescent="0.25">
      <c r="A139" s="34"/>
      <c r="B139" s="33"/>
      <c r="C139" s="34"/>
      <c r="D139" s="34"/>
      <c r="E139" s="34"/>
      <c r="F139" s="34"/>
      <c r="G139" s="35"/>
      <c r="H139" s="34"/>
      <c r="I139" s="5" t="str">
        <f t="shared" si="10"/>
        <v/>
      </c>
      <c r="J139" s="12" t="str">
        <f t="shared" si="11"/>
        <v/>
      </c>
      <c r="K139" s="37" t="str">
        <f>IF(A139="","",Inputs!$B$11-B139)</f>
        <v/>
      </c>
      <c r="L139" s="5" t="str">
        <f>IF(A139="","",IF(I139&lt;=0,"Sold out",IF(K139&gt;=Inputs!$B$18,"Dead",IF(K139&gt;=Inputs!$B$17,"Ageing",IF(K139&gt;=Inputs!$B$16,"Watch","Fresh")))))</f>
        <v/>
      </c>
      <c r="M139" s="5" t="str">
        <f t="shared" si="12"/>
        <v/>
      </c>
      <c r="N139" s="12" t="str">
        <f t="shared" si="13"/>
        <v/>
      </c>
      <c r="O139" s="36" t="str">
        <f t="shared" si="14"/>
        <v/>
      </c>
    </row>
    <row r="140" spans="1:15" x14ac:dyDescent="0.25">
      <c r="A140" s="34"/>
      <c r="B140" s="33"/>
      <c r="C140" s="34"/>
      <c r="D140" s="34"/>
      <c r="E140" s="34"/>
      <c r="F140" s="34"/>
      <c r="G140" s="35"/>
      <c r="H140" s="34"/>
      <c r="I140" s="5" t="str">
        <f t="shared" si="10"/>
        <v/>
      </c>
      <c r="J140" s="12" t="str">
        <f t="shared" si="11"/>
        <v/>
      </c>
      <c r="K140" s="37" t="str">
        <f>IF(A140="","",Inputs!$B$11-B140)</f>
        <v/>
      </c>
      <c r="L140" s="5" t="str">
        <f>IF(A140="","",IF(I140&lt;=0,"Sold out",IF(K140&gt;=Inputs!$B$18,"Dead",IF(K140&gt;=Inputs!$B$17,"Ageing",IF(K140&gt;=Inputs!$B$16,"Watch","Fresh")))))</f>
        <v/>
      </c>
      <c r="M140" s="5" t="str">
        <f t="shared" si="12"/>
        <v/>
      </c>
      <c r="N140" s="12" t="str">
        <f t="shared" si="13"/>
        <v/>
      </c>
      <c r="O140" s="36" t="str">
        <f t="shared" si="14"/>
        <v/>
      </c>
    </row>
    <row r="141" spans="1:15" x14ac:dyDescent="0.25">
      <c r="A141" s="34"/>
      <c r="B141" s="33"/>
      <c r="C141" s="34"/>
      <c r="D141" s="34"/>
      <c r="E141" s="34"/>
      <c r="F141" s="34"/>
      <c r="G141" s="35"/>
      <c r="H141" s="34"/>
      <c r="I141" s="5" t="str">
        <f t="shared" si="10"/>
        <v/>
      </c>
      <c r="J141" s="12" t="str">
        <f t="shared" si="11"/>
        <v/>
      </c>
      <c r="K141" s="37" t="str">
        <f>IF(A141="","",Inputs!$B$11-B141)</f>
        <v/>
      </c>
      <c r="L141" s="5" t="str">
        <f>IF(A141="","",IF(I141&lt;=0,"Sold out",IF(K141&gt;=Inputs!$B$18,"Dead",IF(K141&gt;=Inputs!$B$17,"Ageing",IF(K141&gt;=Inputs!$B$16,"Watch","Fresh")))))</f>
        <v/>
      </c>
      <c r="M141" s="5" t="str">
        <f t="shared" si="12"/>
        <v/>
      </c>
      <c r="N141" s="12" t="str">
        <f t="shared" si="13"/>
        <v/>
      </c>
      <c r="O141" s="36" t="str">
        <f t="shared" si="14"/>
        <v/>
      </c>
    </row>
    <row r="142" spans="1:15" x14ac:dyDescent="0.25">
      <c r="A142" s="34"/>
      <c r="B142" s="33"/>
      <c r="C142" s="34"/>
      <c r="D142" s="34"/>
      <c r="E142" s="34"/>
      <c r="F142" s="34"/>
      <c r="G142" s="35"/>
      <c r="H142" s="34"/>
      <c r="I142" s="5" t="str">
        <f t="shared" si="10"/>
        <v/>
      </c>
      <c r="J142" s="12" t="str">
        <f t="shared" si="11"/>
        <v/>
      </c>
      <c r="K142" s="37" t="str">
        <f>IF(A142="","",Inputs!$B$11-B142)</f>
        <v/>
      </c>
      <c r="L142" s="5" t="str">
        <f>IF(A142="","",IF(I142&lt;=0,"Sold out",IF(K142&gt;=Inputs!$B$18,"Dead",IF(K142&gt;=Inputs!$B$17,"Ageing",IF(K142&gt;=Inputs!$B$16,"Watch","Fresh")))))</f>
        <v/>
      </c>
      <c r="M142" s="5" t="str">
        <f t="shared" si="12"/>
        <v/>
      </c>
      <c r="N142" s="12" t="str">
        <f t="shared" si="13"/>
        <v/>
      </c>
      <c r="O142" s="36" t="str">
        <f t="shared" si="14"/>
        <v/>
      </c>
    </row>
    <row r="143" spans="1:15" x14ac:dyDescent="0.25">
      <c r="A143" s="34"/>
      <c r="B143" s="33"/>
      <c r="C143" s="34"/>
      <c r="D143" s="34"/>
      <c r="E143" s="34"/>
      <c r="F143" s="34"/>
      <c r="G143" s="35"/>
      <c r="H143" s="34"/>
      <c r="I143" s="5" t="str">
        <f t="shared" si="10"/>
        <v/>
      </c>
      <c r="J143" s="12" t="str">
        <f t="shared" si="11"/>
        <v/>
      </c>
      <c r="K143" s="37" t="str">
        <f>IF(A143="","",Inputs!$B$11-B143)</f>
        <v/>
      </c>
      <c r="L143" s="5" t="str">
        <f>IF(A143="","",IF(I143&lt;=0,"Sold out",IF(K143&gt;=Inputs!$B$18,"Dead",IF(K143&gt;=Inputs!$B$17,"Ageing",IF(K143&gt;=Inputs!$B$16,"Watch","Fresh")))))</f>
        <v/>
      </c>
      <c r="M143" s="5" t="str">
        <f t="shared" si="12"/>
        <v/>
      </c>
      <c r="N143" s="12" t="str">
        <f t="shared" si="13"/>
        <v/>
      </c>
      <c r="O143" s="36" t="str">
        <f t="shared" si="14"/>
        <v/>
      </c>
    </row>
    <row r="144" spans="1:15" x14ac:dyDescent="0.25">
      <c r="A144" s="34"/>
      <c r="B144" s="33"/>
      <c r="C144" s="34"/>
      <c r="D144" s="34"/>
      <c r="E144" s="34"/>
      <c r="F144" s="34"/>
      <c r="G144" s="35"/>
      <c r="H144" s="34"/>
      <c r="I144" s="5" t="str">
        <f t="shared" si="10"/>
        <v/>
      </c>
      <c r="J144" s="12" t="str">
        <f t="shared" si="11"/>
        <v/>
      </c>
      <c r="K144" s="37" t="str">
        <f>IF(A144="","",Inputs!$B$11-B144)</f>
        <v/>
      </c>
      <c r="L144" s="5" t="str">
        <f>IF(A144="","",IF(I144&lt;=0,"Sold out",IF(K144&gt;=Inputs!$B$18,"Dead",IF(K144&gt;=Inputs!$B$17,"Ageing",IF(K144&gt;=Inputs!$B$16,"Watch","Fresh")))))</f>
        <v/>
      </c>
      <c r="M144" s="5" t="str">
        <f t="shared" si="12"/>
        <v/>
      </c>
      <c r="N144" s="12" t="str">
        <f t="shared" si="13"/>
        <v/>
      </c>
      <c r="O144" s="36" t="str">
        <f t="shared" si="14"/>
        <v/>
      </c>
    </row>
    <row r="145" spans="1:15" x14ac:dyDescent="0.25">
      <c r="A145" s="34"/>
      <c r="B145" s="33"/>
      <c r="C145" s="34"/>
      <c r="D145" s="34"/>
      <c r="E145" s="34"/>
      <c r="F145" s="34"/>
      <c r="G145" s="35"/>
      <c r="H145" s="34"/>
      <c r="I145" s="5" t="str">
        <f t="shared" si="10"/>
        <v/>
      </c>
      <c r="J145" s="12" t="str">
        <f t="shared" si="11"/>
        <v/>
      </c>
      <c r="K145" s="37" t="str">
        <f>IF(A145="","",Inputs!$B$11-B145)</f>
        <v/>
      </c>
      <c r="L145" s="5" t="str">
        <f>IF(A145="","",IF(I145&lt;=0,"Sold out",IF(K145&gt;=Inputs!$B$18,"Dead",IF(K145&gt;=Inputs!$B$17,"Ageing",IF(K145&gt;=Inputs!$B$16,"Watch","Fresh")))))</f>
        <v/>
      </c>
      <c r="M145" s="5" t="str">
        <f t="shared" si="12"/>
        <v/>
      </c>
      <c r="N145" s="12" t="str">
        <f t="shared" si="13"/>
        <v/>
      </c>
      <c r="O145" s="36" t="str">
        <f t="shared" si="14"/>
        <v/>
      </c>
    </row>
    <row r="146" spans="1:15" x14ac:dyDescent="0.25">
      <c r="A146" s="34"/>
      <c r="B146" s="33"/>
      <c r="C146" s="34"/>
      <c r="D146" s="34"/>
      <c r="E146" s="34"/>
      <c r="F146" s="34"/>
      <c r="G146" s="35"/>
      <c r="H146" s="34"/>
      <c r="I146" s="5" t="str">
        <f t="shared" si="10"/>
        <v/>
      </c>
      <c r="J146" s="12" t="str">
        <f t="shared" si="11"/>
        <v/>
      </c>
      <c r="K146" s="37" t="str">
        <f>IF(A146="","",Inputs!$B$11-B146)</f>
        <v/>
      </c>
      <c r="L146" s="5" t="str">
        <f>IF(A146="","",IF(I146&lt;=0,"Sold out",IF(K146&gt;=Inputs!$B$18,"Dead",IF(K146&gt;=Inputs!$B$17,"Ageing",IF(K146&gt;=Inputs!$B$16,"Watch","Fresh")))))</f>
        <v/>
      </c>
      <c r="M146" s="5" t="str">
        <f t="shared" si="12"/>
        <v/>
      </c>
      <c r="N146" s="12" t="str">
        <f t="shared" si="13"/>
        <v/>
      </c>
      <c r="O146" s="36" t="str">
        <f t="shared" si="14"/>
        <v/>
      </c>
    </row>
    <row r="147" spans="1:15" x14ac:dyDescent="0.25">
      <c r="A147" s="34"/>
      <c r="B147" s="33"/>
      <c r="C147" s="34"/>
      <c r="D147" s="34"/>
      <c r="E147" s="34"/>
      <c r="F147" s="34"/>
      <c r="G147" s="35"/>
      <c r="H147" s="34"/>
      <c r="I147" s="5" t="str">
        <f t="shared" si="10"/>
        <v/>
      </c>
      <c r="J147" s="12" t="str">
        <f t="shared" si="11"/>
        <v/>
      </c>
      <c r="K147" s="37" t="str">
        <f>IF(A147="","",Inputs!$B$11-B147)</f>
        <v/>
      </c>
      <c r="L147" s="5" t="str">
        <f>IF(A147="","",IF(I147&lt;=0,"Sold out",IF(K147&gt;=Inputs!$B$18,"Dead",IF(K147&gt;=Inputs!$B$17,"Ageing",IF(K147&gt;=Inputs!$B$16,"Watch","Fresh")))))</f>
        <v/>
      </c>
      <c r="M147" s="5" t="str">
        <f t="shared" si="12"/>
        <v/>
      </c>
      <c r="N147" s="12" t="str">
        <f t="shared" si="13"/>
        <v/>
      </c>
      <c r="O147" s="36" t="str">
        <f t="shared" si="14"/>
        <v/>
      </c>
    </row>
    <row r="148" spans="1:15" x14ac:dyDescent="0.25">
      <c r="A148" s="34"/>
      <c r="B148" s="33"/>
      <c r="C148" s="34"/>
      <c r="D148" s="34"/>
      <c r="E148" s="34"/>
      <c r="F148" s="34"/>
      <c r="G148" s="35"/>
      <c r="H148" s="34"/>
      <c r="I148" s="5" t="str">
        <f t="shared" si="10"/>
        <v/>
      </c>
      <c r="J148" s="12" t="str">
        <f t="shared" si="11"/>
        <v/>
      </c>
      <c r="K148" s="37" t="str">
        <f>IF(A148="","",Inputs!$B$11-B148)</f>
        <v/>
      </c>
      <c r="L148" s="5" t="str">
        <f>IF(A148="","",IF(I148&lt;=0,"Sold out",IF(K148&gt;=Inputs!$B$18,"Dead",IF(K148&gt;=Inputs!$B$17,"Ageing",IF(K148&gt;=Inputs!$B$16,"Watch","Fresh")))))</f>
        <v/>
      </c>
      <c r="M148" s="5" t="str">
        <f t="shared" si="12"/>
        <v/>
      </c>
      <c r="N148" s="12" t="str">
        <f t="shared" si="13"/>
        <v/>
      </c>
      <c r="O148" s="36" t="str">
        <f t="shared" si="14"/>
        <v/>
      </c>
    </row>
    <row r="149" spans="1:15" x14ac:dyDescent="0.25">
      <c r="A149" s="34"/>
      <c r="B149" s="33"/>
      <c r="C149" s="34"/>
      <c r="D149" s="34"/>
      <c r="E149" s="34"/>
      <c r="F149" s="34"/>
      <c r="G149" s="35"/>
      <c r="H149" s="34"/>
      <c r="I149" s="5" t="str">
        <f t="shared" si="10"/>
        <v/>
      </c>
      <c r="J149" s="12" t="str">
        <f t="shared" si="11"/>
        <v/>
      </c>
      <c r="K149" s="37" t="str">
        <f>IF(A149="","",Inputs!$B$11-B149)</f>
        <v/>
      </c>
      <c r="L149" s="5" t="str">
        <f>IF(A149="","",IF(I149&lt;=0,"Sold out",IF(K149&gt;=Inputs!$B$18,"Dead",IF(K149&gt;=Inputs!$B$17,"Ageing",IF(K149&gt;=Inputs!$B$16,"Watch","Fresh")))))</f>
        <v/>
      </c>
      <c r="M149" s="5" t="str">
        <f t="shared" si="12"/>
        <v/>
      </c>
      <c r="N149" s="12" t="str">
        <f t="shared" si="13"/>
        <v/>
      </c>
      <c r="O149" s="36" t="str">
        <f t="shared" si="14"/>
        <v/>
      </c>
    </row>
    <row r="150" spans="1:15" x14ac:dyDescent="0.25">
      <c r="A150" s="34"/>
      <c r="B150" s="33"/>
      <c r="C150" s="34"/>
      <c r="D150" s="34"/>
      <c r="E150" s="34"/>
      <c r="F150" s="34"/>
      <c r="G150" s="35"/>
      <c r="H150" s="34"/>
      <c r="I150" s="5" t="str">
        <f t="shared" si="10"/>
        <v/>
      </c>
      <c r="J150" s="12" t="str">
        <f t="shared" si="11"/>
        <v/>
      </c>
      <c r="K150" s="37" t="str">
        <f>IF(A150="","",Inputs!$B$11-B150)</f>
        <v/>
      </c>
      <c r="L150" s="5" t="str">
        <f>IF(A150="","",IF(I150&lt;=0,"Sold out",IF(K150&gt;=Inputs!$B$18,"Dead",IF(K150&gt;=Inputs!$B$17,"Ageing",IF(K150&gt;=Inputs!$B$16,"Watch","Fresh")))))</f>
        <v/>
      </c>
      <c r="M150" s="5" t="str">
        <f t="shared" si="12"/>
        <v/>
      </c>
      <c r="N150" s="12" t="str">
        <f t="shared" si="13"/>
        <v/>
      </c>
      <c r="O150" s="36" t="str">
        <f t="shared" si="14"/>
        <v/>
      </c>
    </row>
    <row r="151" spans="1:15" x14ac:dyDescent="0.25">
      <c r="A151" s="34"/>
      <c r="B151" s="33"/>
      <c r="C151" s="34"/>
      <c r="D151" s="34"/>
      <c r="E151" s="34"/>
      <c r="F151" s="34"/>
      <c r="G151" s="35"/>
      <c r="H151" s="34"/>
      <c r="I151" s="5" t="str">
        <f t="shared" si="10"/>
        <v/>
      </c>
      <c r="J151" s="12" t="str">
        <f t="shared" si="11"/>
        <v/>
      </c>
      <c r="K151" s="37" t="str">
        <f>IF(A151="","",Inputs!$B$11-B151)</f>
        <v/>
      </c>
      <c r="L151" s="5" t="str">
        <f>IF(A151="","",IF(I151&lt;=0,"Sold out",IF(K151&gt;=Inputs!$B$18,"Dead",IF(K151&gt;=Inputs!$B$17,"Ageing",IF(K151&gt;=Inputs!$B$16,"Watch","Fresh")))))</f>
        <v/>
      </c>
      <c r="M151" s="5" t="str">
        <f t="shared" si="12"/>
        <v/>
      </c>
      <c r="N151" s="12" t="str">
        <f t="shared" si="13"/>
        <v/>
      </c>
      <c r="O151" s="36" t="str">
        <f t="shared" si="14"/>
        <v/>
      </c>
    </row>
    <row r="152" spans="1:15" x14ac:dyDescent="0.25">
      <c r="A152" s="34"/>
      <c r="B152" s="33"/>
      <c r="C152" s="34"/>
      <c r="D152" s="34"/>
      <c r="E152" s="34"/>
      <c r="F152" s="34"/>
      <c r="G152" s="35"/>
      <c r="H152" s="34"/>
      <c r="I152" s="5" t="str">
        <f t="shared" si="10"/>
        <v/>
      </c>
      <c r="J152" s="12" t="str">
        <f t="shared" si="11"/>
        <v/>
      </c>
      <c r="K152" s="37" t="str">
        <f>IF(A152="","",Inputs!$B$11-B152)</f>
        <v/>
      </c>
      <c r="L152" s="5" t="str">
        <f>IF(A152="","",IF(I152&lt;=0,"Sold out",IF(K152&gt;=Inputs!$B$18,"Dead",IF(K152&gt;=Inputs!$B$17,"Ageing",IF(K152&gt;=Inputs!$B$16,"Watch","Fresh")))))</f>
        <v/>
      </c>
      <c r="M152" s="5" t="str">
        <f t="shared" si="12"/>
        <v/>
      </c>
      <c r="N152" s="12" t="str">
        <f t="shared" si="13"/>
        <v/>
      </c>
      <c r="O152" s="36" t="str">
        <f t="shared" si="14"/>
        <v/>
      </c>
    </row>
    <row r="153" spans="1:15" x14ac:dyDescent="0.25">
      <c r="A153" s="34"/>
      <c r="B153" s="33"/>
      <c r="C153" s="34"/>
      <c r="D153" s="34"/>
      <c r="E153" s="34"/>
      <c r="F153" s="34"/>
      <c r="G153" s="35"/>
      <c r="H153" s="34"/>
      <c r="I153" s="5" t="str">
        <f t="shared" si="10"/>
        <v/>
      </c>
      <c r="J153" s="12" t="str">
        <f t="shared" si="11"/>
        <v/>
      </c>
      <c r="K153" s="37" t="str">
        <f>IF(A153="","",Inputs!$B$11-B153)</f>
        <v/>
      </c>
      <c r="L153" s="5" t="str">
        <f>IF(A153="","",IF(I153&lt;=0,"Sold out",IF(K153&gt;=Inputs!$B$18,"Dead",IF(K153&gt;=Inputs!$B$17,"Ageing",IF(K153&gt;=Inputs!$B$16,"Watch","Fresh")))))</f>
        <v/>
      </c>
      <c r="M153" s="5" t="str">
        <f t="shared" si="12"/>
        <v/>
      </c>
      <c r="N153" s="12" t="str">
        <f t="shared" si="13"/>
        <v/>
      </c>
      <c r="O153" s="36" t="str">
        <f t="shared" si="14"/>
        <v/>
      </c>
    </row>
    <row r="154" spans="1:15" x14ac:dyDescent="0.25">
      <c r="A154" s="34"/>
      <c r="B154" s="33"/>
      <c r="C154" s="34"/>
      <c r="D154" s="34"/>
      <c r="E154" s="34"/>
      <c r="F154" s="34"/>
      <c r="G154" s="35"/>
      <c r="H154" s="34"/>
      <c r="I154" s="5" t="str">
        <f t="shared" si="10"/>
        <v/>
      </c>
      <c r="J154" s="12" t="str">
        <f t="shared" si="11"/>
        <v/>
      </c>
      <c r="K154" s="37" t="str">
        <f>IF(A154="","",Inputs!$B$11-B154)</f>
        <v/>
      </c>
      <c r="L154" s="5" t="str">
        <f>IF(A154="","",IF(I154&lt;=0,"Sold out",IF(K154&gt;=Inputs!$B$18,"Dead",IF(K154&gt;=Inputs!$B$17,"Ageing",IF(K154&gt;=Inputs!$B$16,"Watch","Fresh")))))</f>
        <v/>
      </c>
      <c r="M154" s="5" t="str">
        <f t="shared" si="12"/>
        <v/>
      </c>
      <c r="N154" s="12" t="str">
        <f t="shared" si="13"/>
        <v/>
      </c>
      <c r="O154" s="36" t="str">
        <f t="shared" si="14"/>
        <v/>
      </c>
    </row>
    <row r="155" spans="1:15" x14ac:dyDescent="0.25">
      <c r="A155" s="34"/>
      <c r="B155" s="33"/>
      <c r="C155" s="34"/>
      <c r="D155" s="34"/>
      <c r="E155" s="34"/>
      <c r="F155" s="34"/>
      <c r="G155" s="35"/>
      <c r="H155" s="34"/>
      <c r="I155" s="5" t="str">
        <f t="shared" si="10"/>
        <v/>
      </c>
      <c r="J155" s="12" t="str">
        <f t="shared" si="11"/>
        <v/>
      </c>
      <c r="K155" s="37" t="str">
        <f>IF(A155="","",Inputs!$B$11-B155)</f>
        <v/>
      </c>
      <c r="L155" s="5" t="str">
        <f>IF(A155="","",IF(I155&lt;=0,"Sold out",IF(K155&gt;=Inputs!$B$18,"Dead",IF(K155&gt;=Inputs!$B$17,"Ageing",IF(K155&gt;=Inputs!$B$16,"Watch","Fresh")))))</f>
        <v/>
      </c>
      <c r="M155" s="5" t="str">
        <f t="shared" si="12"/>
        <v/>
      </c>
      <c r="N155" s="12" t="str">
        <f t="shared" si="13"/>
        <v/>
      </c>
      <c r="O155" s="36" t="str">
        <f t="shared" si="14"/>
        <v/>
      </c>
    </row>
    <row r="156" spans="1:15" x14ac:dyDescent="0.25">
      <c r="A156" s="34"/>
      <c r="B156" s="33"/>
      <c r="C156" s="34"/>
      <c r="D156" s="34"/>
      <c r="E156" s="34"/>
      <c r="F156" s="34"/>
      <c r="G156" s="35"/>
      <c r="H156" s="34"/>
      <c r="I156" s="5" t="str">
        <f t="shared" si="10"/>
        <v/>
      </c>
      <c r="J156" s="12" t="str">
        <f t="shared" si="11"/>
        <v/>
      </c>
      <c r="K156" s="37" t="str">
        <f>IF(A156="","",Inputs!$B$11-B156)</f>
        <v/>
      </c>
      <c r="L156" s="5" t="str">
        <f>IF(A156="","",IF(I156&lt;=0,"Sold out",IF(K156&gt;=Inputs!$B$18,"Dead",IF(K156&gt;=Inputs!$B$17,"Ageing",IF(K156&gt;=Inputs!$B$16,"Watch","Fresh")))))</f>
        <v/>
      </c>
      <c r="M156" s="5" t="str">
        <f t="shared" si="12"/>
        <v/>
      </c>
      <c r="N156" s="12" t="str">
        <f t="shared" si="13"/>
        <v/>
      </c>
      <c r="O156" s="36" t="str">
        <f t="shared" si="14"/>
        <v/>
      </c>
    </row>
    <row r="157" spans="1:15" x14ac:dyDescent="0.25">
      <c r="A157" s="34"/>
      <c r="B157" s="33"/>
      <c r="C157" s="34"/>
      <c r="D157" s="34"/>
      <c r="E157" s="34"/>
      <c r="F157" s="34"/>
      <c r="G157" s="35"/>
      <c r="H157" s="34"/>
      <c r="I157" s="5" t="str">
        <f t="shared" si="10"/>
        <v/>
      </c>
      <c r="J157" s="12" t="str">
        <f t="shared" si="11"/>
        <v/>
      </c>
      <c r="K157" s="37" t="str">
        <f>IF(A157="","",Inputs!$B$11-B157)</f>
        <v/>
      </c>
      <c r="L157" s="5" t="str">
        <f>IF(A157="","",IF(I157&lt;=0,"Sold out",IF(K157&gt;=Inputs!$B$18,"Dead",IF(K157&gt;=Inputs!$B$17,"Ageing",IF(K157&gt;=Inputs!$B$16,"Watch","Fresh")))))</f>
        <v/>
      </c>
      <c r="M157" s="5" t="str">
        <f t="shared" si="12"/>
        <v/>
      </c>
      <c r="N157" s="12" t="str">
        <f t="shared" si="13"/>
        <v/>
      </c>
      <c r="O157" s="36" t="str">
        <f t="shared" si="14"/>
        <v/>
      </c>
    </row>
    <row r="158" spans="1:15" x14ac:dyDescent="0.25">
      <c r="A158" s="34"/>
      <c r="B158" s="33"/>
      <c r="C158" s="34"/>
      <c r="D158" s="34"/>
      <c r="E158" s="34"/>
      <c r="F158" s="34"/>
      <c r="G158" s="35"/>
      <c r="H158" s="34"/>
      <c r="I158" s="5" t="str">
        <f t="shared" si="10"/>
        <v/>
      </c>
      <c r="J158" s="12" t="str">
        <f t="shared" si="11"/>
        <v/>
      </c>
      <c r="K158" s="37" t="str">
        <f>IF(A158="","",Inputs!$B$11-B158)</f>
        <v/>
      </c>
      <c r="L158" s="5" t="str">
        <f>IF(A158="","",IF(I158&lt;=0,"Sold out",IF(K158&gt;=Inputs!$B$18,"Dead",IF(K158&gt;=Inputs!$B$17,"Ageing",IF(K158&gt;=Inputs!$B$16,"Watch","Fresh")))))</f>
        <v/>
      </c>
      <c r="M158" s="5" t="str">
        <f t="shared" si="12"/>
        <v/>
      </c>
      <c r="N158" s="12" t="str">
        <f t="shared" si="13"/>
        <v/>
      </c>
      <c r="O158" s="36" t="str">
        <f t="shared" si="14"/>
        <v/>
      </c>
    </row>
    <row r="159" spans="1:15" x14ac:dyDescent="0.25">
      <c r="A159" s="34"/>
      <c r="B159" s="33"/>
      <c r="C159" s="34"/>
      <c r="D159" s="34"/>
      <c r="E159" s="34"/>
      <c r="F159" s="34"/>
      <c r="G159" s="35"/>
      <c r="H159" s="34"/>
      <c r="I159" s="5" t="str">
        <f t="shared" si="10"/>
        <v/>
      </c>
      <c r="J159" s="12" t="str">
        <f t="shared" si="11"/>
        <v/>
      </c>
      <c r="K159" s="37" t="str">
        <f>IF(A159="","",Inputs!$B$11-B159)</f>
        <v/>
      </c>
      <c r="L159" s="5" t="str">
        <f>IF(A159="","",IF(I159&lt;=0,"Sold out",IF(K159&gt;=Inputs!$B$18,"Dead",IF(K159&gt;=Inputs!$B$17,"Ageing",IF(K159&gt;=Inputs!$B$16,"Watch","Fresh")))))</f>
        <v/>
      </c>
      <c r="M159" s="5" t="str">
        <f t="shared" si="12"/>
        <v/>
      </c>
      <c r="N159" s="12" t="str">
        <f t="shared" si="13"/>
        <v/>
      </c>
      <c r="O159" s="36" t="str">
        <f t="shared" si="14"/>
        <v/>
      </c>
    </row>
    <row r="160" spans="1:15" x14ac:dyDescent="0.25">
      <c r="A160" s="34"/>
      <c r="B160" s="33"/>
      <c r="C160" s="34"/>
      <c r="D160" s="34"/>
      <c r="E160" s="34"/>
      <c r="F160" s="34"/>
      <c r="G160" s="35"/>
      <c r="H160" s="34"/>
      <c r="I160" s="5" t="str">
        <f t="shared" si="10"/>
        <v/>
      </c>
      <c r="J160" s="12" t="str">
        <f t="shared" si="11"/>
        <v/>
      </c>
      <c r="K160" s="37" t="str">
        <f>IF(A160="","",Inputs!$B$11-B160)</f>
        <v/>
      </c>
      <c r="L160" s="5" t="str">
        <f>IF(A160="","",IF(I160&lt;=0,"Sold out",IF(K160&gt;=Inputs!$B$18,"Dead",IF(K160&gt;=Inputs!$B$17,"Ageing",IF(K160&gt;=Inputs!$B$16,"Watch","Fresh")))))</f>
        <v/>
      </c>
      <c r="M160" s="5" t="str">
        <f t="shared" si="12"/>
        <v/>
      </c>
      <c r="N160" s="12" t="str">
        <f t="shared" si="13"/>
        <v/>
      </c>
      <c r="O160" s="36" t="str">
        <f t="shared" si="14"/>
        <v/>
      </c>
    </row>
    <row r="161" spans="1:15" x14ac:dyDescent="0.25">
      <c r="A161" s="34"/>
      <c r="B161" s="33"/>
      <c r="C161" s="34"/>
      <c r="D161" s="34"/>
      <c r="E161" s="34"/>
      <c r="F161" s="34"/>
      <c r="G161" s="35"/>
      <c r="H161" s="34"/>
      <c r="I161" s="5" t="str">
        <f t="shared" si="10"/>
        <v/>
      </c>
      <c r="J161" s="12" t="str">
        <f t="shared" si="11"/>
        <v/>
      </c>
      <c r="K161" s="37" t="str">
        <f>IF(A161="","",Inputs!$B$11-B161)</f>
        <v/>
      </c>
      <c r="L161" s="5" t="str">
        <f>IF(A161="","",IF(I161&lt;=0,"Sold out",IF(K161&gt;=Inputs!$B$18,"Dead",IF(K161&gt;=Inputs!$B$17,"Ageing",IF(K161&gt;=Inputs!$B$16,"Watch","Fresh")))))</f>
        <v/>
      </c>
      <c r="M161" s="5" t="str">
        <f t="shared" si="12"/>
        <v/>
      </c>
      <c r="N161" s="12" t="str">
        <f t="shared" si="13"/>
        <v/>
      </c>
      <c r="O161" s="36" t="str">
        <f t="shared" si="14"/>
        <v/>
      </c>
    </row>
    <row r="162" spans="1:15" x14ac:dyDescent="0.25">
      <c r="A162" s="34"/>
      <c r="B162" s="33"/>
      <c r="C162" s="34"/>
      <c r="D162" s="34"/>
      <c r="E162" s="34"/>
      <c r="F162" s="34"/>
      <c r="G162" s="35"/>
      <c r="H162" s="34"/>
      <c r="I162" s="5" t="str">
        <f t="shared" si="10"/>
        <v/>
      </c>
      <c r="J162" s="12" t="str">
        <f t="shared" si="11"/>
        <v/>
      </c>
      <c r="K162" s="37" t="str">
        <f>IF(A162="","",Inputs!$B$11-B162)</f>
        <v/>
      </c>
      <c r="L162" s="5" t="str">
        <f>IF(A162="","",IF(I162&lt;=0,"Sold out",IF(K162&gt;=Inputs!$B$18,"Dead",IF(K162&gt;=Inputs!$B$17,"Ageing",IF(K162&gt;=Inputs!$B$16,"Watch","Fresh")))))</f>
        <v/>
      </c>
      <c r="M162" s="5" t="str">
        <f t="shared" si="12"/>
        <v/>
      </c>
      <c r="N162" s="12" t="str">
        <f t="shared" si="13"/>
        <v/>
      </c>
      <c r="O162" s="36" t="str">
        <f t="shared" si="14"/>
        <v/>
      </c>
    </row>
    <row r="163" spans="1:15" x14ac:dyDescent="0.25">
      <c r="A163" s="34"/>
      <c r="B163" s="33"/>
      <c r="C163" s="34"/>
      <c r="D163" s="34"/>
      <c r="E163" s="34"/>
      <c r="F163" s="34"/>
      <c r="G163" s="35"/>
      <c r="H163" s="34"/>
      <c r="I163" s="5" t="str">
        <f t="shared" si="10"/>
        <v/>
      </c>
      <c r="J163" s="12" t="str">
        <f t="shared" si="11"/>
        <v/>
      </c>
      <c r="K163" s="37" t="str">
        <f>IF(A163="","",Inputs!$B$11-B163)</f>
        <v/>
      </c>
      <c r="L163" s="5" t="str">
        <f>IF(A163="","",IF(I163&lt;=0,"Sold out",IF(K163&gt;=Inputs!$B$18,"Dead",IF(K163&gt;=Inputs!$B$17,"Ageing",IF(K163&gt;=Inputs!$B$16,"Watch","Fresh")))))</f>
        <v/>
      </c>
      <c r="M163" s="5" t="str">
        <f t="shared" si="12"/>
        <v/>
      </c>
      <c r="N163" s="12" t="str">
        <f t="shared" si="13"/>
        <v/>
      </c>
      <c r="O163" s="36" t="str">
        <f t="shared" si="14"/>
        <v/>
      </c>
    </row>
    <row r="164" spans="1:15" x14ac:dyDescent="0.25">
      <c r="A164" s="34"/>
      <c r="B164" s="33"/>
      <c r="C164" s="34"/>
      <c r="D164" s="34"/>
      <c r="E164" s="34"/>
      <c r="F164" s="34"/>
      <c r="G164" s="35"/>
      <c r="H164" s="34"/>
      <c r="I164" s="5" t="str">
        <f t="shared" si="10"/>
        <v/>
      </c>
      <c r="J164" s="12" t="str">
        <f t="shared" si="11"/>
        <v/>
      </c>
      <c r="K164" s="37" t="str">
        <f>IF(A164="","",Inputs!$B$11-B164)</f>
        <v/>
      </c>
      <c r="L164" s="5" t="str">
        <f>IF(A164="","",IF(I164&lt;=0,"Sold out",IF(K164&gt;=Inputs!$B$18,"Dead",IF(K164&gt;=Inputs!$B$17,"Ageing",IF(K164&gt;=Inputs!$B$16,"Watch","Fresh")))))</f>
        <v/>
      </c>
      <c r="M164" s="5" t="str">
        <f t="shared" si="12"/>
        <v/>
      </c>
      <c r="N164" s="12" t="str">
        <f t="shared" si="13"/>
        <v/>
      </c>
      <c r="O164" s="36" t="str">
        <f t="shared" si="14"/>
        <v/>
      </c>
    </row>
    <row r="165" spans="1:15" x14ac:dyDescent="0.25">
      <c r="A165" s="34"/>
      <c r="B165" s="33"/>
      <c r="C165" s="34"/>
      <c r="D165" s="34"/>
      <c r="E165" s="34"/>
      <c r="F165" s="34"/>
      <c r="G165" s="35"/>
      <c r="H165" s="34"/>
      <c r="I165" s="5" t="str">
        <f t="shared" si="10"/>
        <v/>
      </c>
      <c r="J165" s="12" t="str">
        <f t="shared" si="11"/>
        <v/>
      </c>
      <c r="K165" s="37" t="str">
        <f>IF(A165="","",Inputs!$B$11-B165)</f>
        <v/>
      </c>
      <c r="L165" s="5" t="str">
        <f>IF(A165="","",IF(I165&lt;=0,"Sold out",IF(K165&gt;=Inputs!$B$18,"Dead",IF(K165&gt;=Inputs!$B$17,"Ageing",IF(K165&gt;=Inputs!$B$16,"Watch","Fresh")))))</f>
        <v/>
      </c>
      <c r="M165" s="5" t="str">
        <f t="shared" si="12"/>
        <v/>
      </c>
      <c r="N165" s="12" t="str">
        <f t="shared" si="13"/>
        <v/>
      </c>
      <c r="O165" s="36" t="str">
        <f t="shared" si="14"/>
        <v/>
      </c>
    </row>
    <row r="166" spans="1:15" x14ac:dyDescent="0.25">
      <c r="A166" s="34"/>
      <c r="B166" s="33"/>
      <c r="C166" s="34"/>
      <c r="D166" s="34"/>
      <c r="E166" s="34"/>
      <c r="F166" s="34"/>
      <c r="G166" s="35"/>
      <c r="H166" s="34"/>
      <c r="I166" s="5" t="str">
        <f t="shared" si="10"/>
        <v/>
      </c>
      <c r="J166" s="12" t="str">
        <f t="shared" si="11"/>
        <v/>
      </c>
      <c r="K166" s="37" t="str">
        <f>IF(A166="","",Inputs!$B$11-B166)</f>
        <v/>
      </c>
      <c r="L166" s="5" t="str">
        <f>IF(A166="","",IF(I166&lt;=0,"Sold out",IF(K166&gt;=Inputs!$B$18,"Dead",IF(K166&gt;=Inputs!$B$17,"Ageing",IF(K166&gt;=Inputs!$B$16,"Watch","Fresh")))))</f>
        <v/>
      </c>
      <c r="M166" s="5" t="str">
        <f t="shared" si="12"/>
        <v/>
      </c>
      <c r="N166" s="12" t="str">
        <f t="shared" si="13"/>
        <v/>
      </c>
      <c r="O166" s="36" t="str">
        <f t="shared" si="14"/>
        <v/>
      </c>
    </row>
    <row r="167" spans="1:15" x14ac:dyDescent="0.25">
      <c r="A167" s="34"/>
      <c r="B167" s="33"/>
      <c r="C167" s="34"/>
      <c r="D167" s="34"/>
      <c r="E167" s="34"/>
      <c r="F167" s="34"/>
      <c r="G167" s="35"/>
      <c r="H167" s="34"/>
      <c r="I167" s="5" t="str">
        <f t="shared" si="10"/>
        <v/>
      </c>
      <c r="J167" s="12" t="str">
        <f t="shared" si="11"/>
        <v/>
      </c>
      <c r="K167" s="37" t="str">
        <f>IF(A167="","",Inputs!$B$11-B167)</f>
        <v/>
      </c>
      <c r="L167" s="5" t="str">
        <f>IF(A167="","",IF(I167&lt;=0,"Sold out",IF(K167&gt;=Inputs!$B$18,"Dead",IF(K167&gt;=Inputs!$B$17,"Ageing",IF(K167&gt;=Inputs!$B$16,"Watch","Fresh")))))</f>
        <v/>
      </c>
      <c r="M167" s="5" t="str">
        <f t="shared" si="12"/>
        <v/>
      </c>
      <c r="N167" s="12" t="str">
        <f t="shared" si="13"/>
        <v/>
      </c>
      <c r="O167" s="36" t="str">
        <f t="shared" si="14"/>
        <v/>
      </c>
    </row>
    <row r="168" spans="1:15" x14ac:dyDescent="0.25">
      <c r="A168" s="34"/>
      <c r="B168" s="33"/>
      <c r="C168" s="34"/>
      <c r="D168" s="34"/>
      <c r="E168" s="34"/>
      <c r="F168" s="34"/>
      <c r="G168" s="35"/>
      <c r="H168" s="34"/>
      <c r="I168" s="5" t="str">
        <f t="shared" si="10"/>
        <v/>
      </c>
      <c r="J168" s="12" t="str">
        <f t="shared" si="11"/>
        <v/>
      </c>
      <c r="K168" s="37" t="str">
        <f>IF(A168="","",Inputs!$B$11-B168)</f>
        <v/>
      </c>
      <c r="L168" s="5" t="str">
        <f>IF(A168="","",IF(I168&lt;=0,"Sold out",IF(K168&gt;=Inputs!$B$18,"Dead",IF(K168&gt;=Inputs!$B$17,"Ageing",IF(K168&gt;=Inputs!$B$16,"Watch","Fresh")))))</f>
        <v/>
      </c>
      <c r="M168" s="5" t="str">
        <f t="shared" si="12"/>
        <v/>
      </c>
      <c r="N168" s="12" t="str">
        <f t="shared" si="13"/>
        <v/>
      </c>
      <c r="O168" s="36" t="str">
        <f t="shared" si="14"/>
        <v/>
      </c>
    </row>
    <row r="169" spans="1:15" x14ac:dyDescent="0.25">
      <c r="A169" s="34"/>
      <c r="B169" s="33"/>
      <c r="C169" s="34"/>
      <c r="D169" s="34"/>
      <c r="E169" s="34"/>
      <c r="F169" s="34"/>
      <c r="G169" s="35"/>
      <c r="H169" s="34"/>
      <c r="I169" s="5" t="str">
        <f t="shared" si="10"/>
        <v/>
      </c>
      <c r="J169" s="12" t="str">
        <f t="shared" si="11"/>
        <v/>
      </c>
      <c r="K169" s="37" t="str">
        <f>IF(A169="","",Inputs!$B$11-B169)</f>
        <v/>
      </c>
      <c r="L169" s="5" t="str">
        <f>IF(A169="","",IF(I169&lt;=0,"Sold out",IF(K169&gt;=Inputs!$B$18,"Dead",IF(K169&gt;=Inputs!$B$17,"Ageing",IF(K169&gt;=Inputs!$B$16,"Watch","Fresh")))))</f>
        <v/>
      </c>
      <c r="M169" s="5" t="str">
        <f t="shared" si="12"/>
        <v/>
      </c>
      <c r="N169" s="12" t="str">
        <f t="shared" si="13"/>
        <v/>
      </c>
      <c r="O169" s="36" t="str">
        <f t="shared" si="14"/>
        <v/>
      </c>
    </row>
    <row r="170" spans="1:15" x14ac:dyDescent="0.25">
      <c r="A170" s="34"/>
      <c r="B170" s="33"/>
      <c r="C170" s="34"/>
      <c r="D170" s="34"/>
      <c r="E170" s="34"/>
      <c r="F170" s="34"/>
      <c r="G170" s="35"/>
      <c r="H170" s="34"/>
      <c r="I170" s="5" t="str">
        <f t="shared" si="10"/>
        <v/>
      </c>
      <c r="J170" s="12" t="str">
        <f t="shared" si="11"/>
        <v/>
      </c>
      <c r="K170" s="37" t="str">
        <f>IF(A170="","",Inputs!$B$11-B170)</f>
        <v/>
      </c>
      <c r="L170" s="5" t="str">
        <f>IF(A170="","",IF(I170&lt;=0,"Sold out",IF(K170&gt;=Inputs!$B$18,"Dead",IF(K170&gt;=Inputs!$B$17,"Ageing",IF(K170&gt;=Inputs!$B$16,"Watch","Fresh")))))</f>
        <v/>
      </c>
      <c r="M170" s="5" t="str">
        <f t="shared" si="12"/>
        <v/>
      </c>
      <c r="N170" s="12" t="str">
        <f t="shared" si="13"/>
        <v/>
      </c>
      <c r="O170" s="36" t="str">
        <f t="shared" si="14"/>
        <v/>
      </c>
    </row>
    <row r="171" spans="1:15" x14ac:dyDescent="0.25">
      <c r="A171" s="34"/>
      <c r="B171" s="33"/>
      <c r="C171" s="34"/>
      <c r="D171" s="34"/>
      <c r="E171" s="34"/>
      <c r="F171" s="34"/>
      <c r="G171" s="35"/>
      <c r="H171" s="34"/>
      <c r="I171" s="5" t="str">
        <f t="shared" si="10"/>
        <v/>
      </c>
      <c r="J171" s="12" t="str">
        <f t="shared" si="11"/>
        <v/>
      </c>
      <c r="K171" s="37" t="str">
        <f>IF(A171="","",Inputs!$B$11-B171)</f>
        <v/>
      </c>
      <c r="L171" s="5" t="str">
        <f>IF(A171="","",IF(I171&lt;=0,"Sold out",IF(K171&gt;=Inputs!$B$18,"Dead",IF(K171&gt;=Inputs!$B$17,"Ageing",IF(K171&gt;=Inputs!$B$16,"Watch","Fresh")))))</f>
        <v/>
      </c>
      <c r="M171" s="5" t="str">
        <f t="shared" si="12"/>
        <v/>
      </c>
      <c r="N171" s="12" t="str">
        <f t="shared" si="13"/>
        <v/>
      </c>
      <c r="O171" s="36" t="str">
        <f t="shared" si="14"/>
        <v/>
      </c>
    </row>
    <row r="172" spans="1:15" x14ac:dyDescent="0.25">
      <c r="A172" s="34"/>
      <c r="B172" s="33"/>
      <c r="C172" s="34"/>
      <c r="D172" s="34"/>
      <c r="E172" s="34"/>
      <c r="F172" s="34"/>
      <c r="G172" s="35"/>
      <c r="H172" s="34"/>
      <c r="I172" s="5" t="str">
        <f t="shared" si="10"/>
        <v/>
      </c>
      <c r="J172" s="12" t="str">
        <f t="shared" si="11"/>
        <v/>
      </c>
      <c r="K172" s="37" t="str">
        <f>IF(A172="","",Inputs!$B$11-B172)</f>
        <v/>
      </c>
      <c r="L172" s="5" t="str">
        <f>IF(A172="","",IF(I172&lt;=0,"Sold out",IF(K172&gt;=Inputs!$B$18,"Dead",IF(K172&gt;=Inputs!$B$17,"Ageing",IF(K172&gt;=Inputs!$B$16,"Watch","Fresh")))))</f>
        <v/>
      </c>
      <c r="M172" s="5" t="str">
        <f t="shared" si="12"/>
        <v/>
      </c>
      <c r="N172" s="12" t="str">
        <f t="shared" si="13"/>
        <v/>
      </c>
      <c r="O172" s="36" t="str">
        <f t="shared" si="14"/>
        <v/>
      </c>
    </row>
    <row r="173" spans="1:15" x14ac:dyDescent="0.25">
      <c r="A173" s="34"/>
      <c r="B173" s="33"/>
      <c r="C173" s="34"/>
      <c r="D173" s="34"/>
      <c r="E173" s="34"/>
      <c r="F173" s="34"/>
      <c r="G173" s="35"/>
      <c r="H173" s="34"/>
      <c r="I173" s="5" t="str">
        <f t="shared" si="10"/>
        <v/>
      </c>
      <c r="J173" s="12" t="str">
        <f t="shared" si="11"/>
        <v/>
      </c>
      <c r="K173" s="37" t="str">
        <f>IF(A173="","",Inputs!$B$11-B173)</f>
        <v/>
      </c>
      <c r="L173" s="5" t="str">
        <f>IF(A173="","",IF(I173&lt;=0,"Sold out",IF(K173&gt;=Inputs!$B$18,"Dead",IF(K173&gt;=Inputs!$B$17,"Ageing",IF(K173&gt;=Inputs!$B$16,"Watch","Fresh")))))</f>
        <v/>
      </c>
      <c r="M173" s="5" t="str">
        <f t="shared" si="12"/>
        <v/>
      </c>
      <c r="N173" s="12" t="str">
        <f t="shared" si="13"/>
        <v/>
      </c>
      <c r="O173" s="36" t="str">
        <f t="shared" si="14"/>
        <v/>
      </c>
    </row>
    <row r="174" spans="1:15" x14ac:dyDescent="0.25">
      <c r="A174" s="34"/>
      <c r="B174" s="33"/>
      <c r="C174" s="34"/>
      <c r="D174" s="34"/>
      <c r="E174" s="34"/>
      <c r="F174" s="34"/>
      <c r="G174" s="35"/>
      <c r="H174" s="34"/>
      <c r="I174" s="5" t="str">
        <f t="shared" si="10"/>
        <v/>
      </c>
      <c r="J174" s="12" t="str">
        <f t="shared" si="11"/>
        <v/>
      </c>
      <c r="K174" s="37" t="str">
        <f>IF(A174="","",Inputs!$B$11-B174)</f>
        <v/>
      </c>
      <c r="L174" s="5" t="str">
        <f>IF(A174="","",IF(I174&lt;=0,"Sold out",IF(K174&gt;=Inputs!$B$18,"Dead",IF(K174&gt;=Inputs!$B$17,"Ageing",IF(K174&gt;=Inputs!$B$16,"Watch","Fresh")))))</f>
        <v/>
      </c>
      <c r="M174" s="5" t="str">
        <f t="shared" si="12"/>
        <v/>
      </c>
      <c r="N174" s="12" t="str">
        <f t="shared" si="13"/>
        <v/>
      </c>
      <c r="O174" s="36" t="str">
        <f t="shared" si="14"/>
        <v/>
      </c>
    </row>
    <row r="175" spans="1:15" x14ac:dyDescent="0.25">
      <c r="A175" s="34"/>
      <c r="B175" s="33"/>
      <c r="C175" s="34"/>
      <c r="D175" s="34"/>
      <c r="E175" s="34"/>
      <c r="F175" s="34"/>
      <c r="G175" s="35"/>
      <c r="H175" s="34"/>
      <c r="I175" s="5" t="str">
        <f t="shared" si="10"/>
        <v/>
      </c>
      <c r="J175" s="12" t="str">
        <f t="shared" si="11"/>
        <v/>
      </c>
      <c r="K175" s="37" t="str">
        <f>IF(A175="","",Inputs!$B$11-B175)</f>
        <v/>
      </c>
      <c r="L175" s="5" t="str">
        <f>IF(A175="","",IF(I175&lt;=0,"Sold out",IF(K175&gt;=Inputs!$B$18,"Dead",IF(K175&gt;=Inputs!$B$17,"Ageing",IF(K175&gt;=Inputs!$B$16,"Watch","Fresh")))))</f>
        <v/>
      </c>
      <c r="M175" s="5" t="str">
        <f t="shared" si="12"/>
        <v/>
      </c>
      <c r="N175" s="12" t="str">
        <f t="shared" si="13"/>
        <v/>
      </c>
      <c r="O175" s="36" t="str">
        <f t="shared" si="14"/>
        <v/>
      </c>
    </row>
    <row r="176" spans="1:15" x14ac:dyDescent="0.25">
      <c r="A176" s="34"/>
      <c r="B176" s="33"/>
      <c r="C176" s="34"/>
      <c r="D176" s="34"/>
      <c r="E176" s="34"/>
      <c r="F176" s="34"/>
      <c r="G176" s="35"/>
      <c r="H176" s="34"/>
      <c r="I176" s="5" t="str">
        <f t="shared" si="10"/>
        <v/>
      </c>
      <c r="J176" s="12" t="str">
        <f t="shared" si="11"/>
        <v/>
      </c>
      <c r="K176" s="37" t="str">
        <f>IF(A176="","",Inputs!$B$11-B176)</f>
        <v/>
      </c>
      <c r="L176" s="5" t="str">
        <f>IF(A176="","",IF(I176&lt;=0,"Sold out",IF(K176&gt;=Inputs!$B$18,"Dead",IF(K176&gt;=Inputs!$B$17,"Ageing",IF(K176&gt;=Inputs!$B$16,"Watch","Fresh")))))</f>
        <v/>
      </c>
      <c r="M176" s="5" t="str">
        <f t="shared" si="12"/>
        <v/>
      </c>
      <c r="N176" s="12" t="str">
        <f t="shared" si="13"/>
        <v/>
      </c>
      <c r="O176" s="36" t="str">
        <f t="shared" si="14"/>
        <v/>
      </c>
    </row>
    <row r="177" spans="1:15" x14ac:dyDescent="0.25">
      <c r="A177" s="34"/>
      <c r="B177" s="33"/>
      <c r="C177" s="34"/>
      <c r="D177" s="34"/>
      <c r="E177" s="34"/>
      <c r="F177" s="34"/>
      <c r="G177" s="35"/>
      <c r="H177" s="34"/>
      <c r="I177" s="5" t="str">
        <f t="shared" si="10"/>
        <v/>
      </c>
      <c r="J177" s="12" t="str">
        <f t="shared" si="11"/>
        <v/>
      </c>
      <c r="K177" s="37" t="str">
        <f>IF(A177="","",Inputs!$B$11-B177)</f>
        <v/>
      </c>
      <c r="L177" s="5" t="str">
        <f>IF(A177="","",IF(I177&lt;=0,"Sold out",IF(K177&gt;=Inputs!$B$18,"Dead",IF(K177&gt;=Inputs!$B$17,"Ageing",IF(K177&gt;=Inputs!$B$16,"Watch","Fresh")))))</f>
        <v/>
      </c>
      <c r="M177" s="5" t="str">
        <f t="shared" si="12"/>
        <v/>
      </c>
      <c r="N177" s="12" t="str">
        <f t="shared" si="13"/>
        <v/>
      </c>
      <c r="O177" s="36" t="str">
        <f t="shared" si="14"/>
        <v/>
      </c>
    </row>
    <row r="178" spans="1:15" x14ac:dyDescent="0.25">
      <c r="A178" s="34"/>
      <c r="B178" s="33"/>
      <c r="C178" s="34"/>
      <c r="D178" s="34"/>
      <c r="E178" s="34"/>
      <c r="F178" s="34"/>
      <c r="G178" s="35"/>
      <c r="H178" s="34"/>
      <c r="I178" s="5" t="str">
        <f t="shared" si="10"/>
        <v/>
      </c>
      <c r="J178" s="12" t="str">
        <f t="shared" si="11"/>
        <v/>
      </c>
      <c r="K178" s="37" t="str">
        <f>IF(A178="","",Inputs!$B$11-B178)</f>
        <v/>
      </c>
      <c r="L178" s="5" t="str">
        <f>IF(A178="","",IF(I178&lt;=0,"Sold out",IF(K178&gt;=Inputs!$B$18,"Dead",IF(K178&gt;=Inputs!$B$17,"Ageing",IF(K178&gt;=Inputs!$B$16,"Watch","Fresh")))))</f>
        <v/>
      </c>
      <c r="M178" s="5" t="str">
        <f t="shared" si="12"/>
        <v/>
      </c>
      <c r="N178" s="12" t="str">
        <f t="shared" si="13"/>
        <v/>
      </c>
      <c r="O178" s="36" t="str">
        <f t="shared" si="14"/>
        <v/>
      </c>
    </row>
    <row r="179" spans="1:15" x14ac:dyDescent="0.25">
      <c r="A179" s="34"/>
      <c r="B179" s="33"/>
      <c r="C179" s="34"/>
      <c r="D179" s="34"/>
      <c r="E179" s="34"/>
      <c r="F179" s="34"/>
      <c r="G179" s="35"/>
      <c r="H179" s="34"/>
      <c r="I179" s="5" t="str">
        <f t="shared" si="10"/>
        <v/>
      </c>
      <c r="J179" s="12" t="str">
        <f t="shared" si="11"/>
        <v/>
      </c>
      <c r="K179" s="37" t="str">
        <f>IF(A179="","",Inputs!$B$11-B179)</f>
        <v/>
      </c>
      <c r="L179" s="5" t="str">
        <f>IF(A179="","",IF(I179&lt;=0,"Sold out",IF(K179&gt;=Inputs!$B$18,"Dead",IF(K179&gt;=Inputs!$B$17,"Ageing",IF(K179&gt;=Inputs!$B$16,"Watch","Fresh")))))</f>
        <v/>
      </c>
      <c r="M179" s="5" t="str">
        <f t="shared" si="12"/>
        <v/>
      </c>
      <c r="N179" s="12" t="str">
        <f t="shared" si="13"/>
        <v/>
      </c>
      <c r="O179" s="36" t="str">
        <f t="shared" si="14"/>
        <v/>
      </c>
    </row>
    <row r="180" spans="1:15" x14ac:dyDescent="0.25">
      <c r="A180" s="34"/>
      <c r="B180" s="33"/>
      <c r="C180" s="34"/>
      <c r="D180" s="34"/>
      <c r="E180" s="34"/>
      <c r="F180" s="34"/>
      <c r="G180" s="35"/>
      <c r="H180" s="34"/>
      <c r="I180" s="5" t="str">
        <f t="shared" si="10"/>
        <v/>
      </c>
      <c r="J180" s="12" t="str">
        <f t="shared" si="11"/>
        <v/>
      </c>
      <c r="K180" s="37" t="str">
        <f>IF(A180="","",Inputs!$B$11-B180)</f>
        <v/>
      </c>
      <c r="L180" s="5" t="str">
        <f>IF(A180="","",IF(I180&lt;=0,"Sold out",IF(K180&gt;=Inputs!$B$18,"Dead",IF(K180&gt;=Inputs!$B$17,"Ageing",IF(K180&gt;=Inputs!$B$16,"Watch","Fresh")))))</f>
        <v/>
      </c>
      <c r="M180" s="5" t="str">
        <f t="shared" si="12"/>
        <v/>
      </c>
      <c r="N180" s="12" t="str">
        <f t="shared" si="13"/>
        <v/>
      </c>
      <c r="O180" s="36" t="str">
        <f t="shared" si="14"/>
        <v/>
      </c>
    </row>
    <row r="181" spans="1:15" x14ac:dyDescent="0.25">
      <c r="A181" s="34"/>
      <c r="B181" s="33"/>
      <c r="C181" s="34"/>
      <c r="D181" s="34"/>
      <c r="E181" s="34"/>
      <c r="F181" s="34"/>
      <c r="G181" s="35"/>
      <c r="H181" s="34"/>
      <c r="I181" s="5" t="str">
        <f t="shared" si="10"/>
        <v/>
      </c>
      <c r="J181" s="12" t="str">
        <f t="shared" si="11"/>
        <v/>
      </c>
      <c r="K181" s="37" t="str">
        <f>IF(A181="","",Inputs!$B$11-B181)</f>
        <v/>
      </c>
      <c r="L181" s="5" t="str">
        <f>IF(A181="","",IF(I181&lt;=0,"Sold out",IF(K181&gt;=Inputs!$B$18,"Dead",IF(K181&gt;=Inputs!$B$17,"Ageing",IF(K181&gt;=Inputs!$B$16,"Watch","Fresh")))))</f>
        <v/>
      </c>
      <c r="M181" s="5" t="str">
        <f t="shared" si="12"/>
        <v/>
      </c>
      <c r="N181" s="12" t="str">
        <f t="shared" si="13"/>
        <v/>
      </c>
      <c r="O181" s="36" t="str">
        <f t="shared" si="14"/>
        <v/>
      </c>
    </row>
    <row r="182" spans="1:15" x14ac:dyDescent="0.25">
      <c r="A182" s="34"/>
      <c r="B182" s="33"/>
      <c r="C182" s="34"/>
      <c r="D182" s="34"/>
      <c r="E182" s="34"/>
      <c r="F182" s="34"/>
      <c r="G182" s="35"/>
      <c r="H182" s="34"/>
      <c r="I182" s="5" t="str">
        <f t="shared" si="10"/>
        <v/>
      </c>
      <c r="J182" s="12" t="str">
        <f t="shared" si="11"/>
        <v/>
      </c>
      <c r="K182" s="37" t="str">
        <f>IF(A182="","",Inputs!$B$11-B182)</f>
        <v/>
      </c>
      <c r="L182" s="5" t="str">
        <f>IF(A182="","",IF(I182&lt;=0,"Sold out",IF(K182&gt;=Inputs!$B$18,"Dead",IF(K182&gt;=Inputs!$B$17,"Ageing",IF(K182&gt;=Inputs!$B$16,"Watch","Fresh")))))</f>
        <v/>
      </c>
      <c r="M182" s="5" t="str">
        <f t="shared" si="12"/>
        <v/>
      </c>
      <c r="N182" s="12" t="str">
        <f t="shared" si="13"/>
        <v/>
      </c>
      <c r="O182" s="36" t="str">
        <f t="shared" si="14"/>
        <v/>
      </c>
    </row>
    <row r="183" spans="1:15" x14ac:dyDescent="0.25">
      <c r="A183" s="34"/>
      <c r="B183" s="33"/>
      <c r="C183" s="34"/>
      <c r="D183" s="34"/>
      <c r="E183" s="34"/>
      <c r="F183" s="34"/>
      <c r="G183" s="35"/>
      <c r="H183" s="34"/>
      <c r="I183" s="5" t="str">
        <f t="shared" si="10"/>
        <v/>
      </c>
      <c r="J183" s="12" t="str">
        <f t="shared" si="11"/>
        <v/>
      </c>
      <c r="K183" s="37" t="str">
        <f>IF(A183="","",Inputs!$B$11-B183)</f>
        <v/>
      </c>
      <c r="L183" s="5" t="str">
        <f>IF(A183="","",IF(I183&lt;=0,"Sold out",IF(K183&gt;=Inputs!$B$18,"Dead",IF(K183&gt;=Inputs!$B$17,"Ageing",IF(K183&gt;=Inputs!$B$16,"Watch","Fresh")))))</f>
        <v/>
      </c>
      <c r="M183" s="5" t="str">
        <f t="shared" si="12"/>
        <v/>
      </c>
      <c r="N183" s="12" t="str">
        <f t="shared" si="13"/>
        <v/>
      </c>
      <c r="O183" s="36" t="str">
        <f t="shared" si="14"/>
        <v/>
      </c>
    </row>
    <row r="184" spans="1:15" x14ac:dyDescent="0.25">
      <c r="A184" s="34"/>
      <c r="B184" s="33"/>
      <c r="C184" s="34"/>
      <c r="D184" s="34"/>
      <c r="E184" s="34"/>
      <c r="F184" s="34"/>
      <c r="G184" s="35"/>
      <c r="H184" s="34"/>
      <c r="I184" s="5" t="str">
        <f t="shared" si="10"/>
        <v/>
      </c>
      <c r="J184" s="12" t="str">
        <f t="shared" si="11"/>
        <v/>
      </c>
      <c r="K184" s="37" t="str">
        <f>IF(A184="","",Inputs!$B$11-B184)</f>
        <v/>
      </c>
      <c r="L184" s="5" t="str">
        <f>IF(A184="","",IF(I184&lt;=0,"Sold out",IF(K184&gt;=Inputs!$B$18,"Dead",IF(K184&gt;=Inputs!$B$17,"Ageing",IF(K184&gt;=Inputs!$B$16,"Watch","Fresh")))))</f>
        <v/>
      </c>
      <c r="M184" s="5" t="str">
        <f t="shared" si="12"/>
        <v/>
      </c>
      <c r="N184" s="12" t="str">
        <f t="shared" si="13"/>
        <v/>
      </c>
      <c r="O184" s="36" t="str">
        <f t="shared" si="14"/>
        <v/>
      </c>
    </row>
    <row r="185" spans="1:15" x14ac:dyDescent="0.25">
      <c r="A185" s="34"/>
      <c r="B185" s="33"/>
      <c r="C185" s="34"/>
      <c r="D185" s="34"/>
      <c r="E185" s="34"/>
      <c r="F185" s="34"/>
      <c r="G185" s="35"/>
      <c r="H185" s="34"/>
      <c r="I185" s="5" t="str">
        <f t="shared" si="10"/>
        <v/>
      </c>
      <c r="J185" s="12" t="str">
        <f t="shared" si="11"/>
        <v/>
      </c>
      <c r="K185" s="37" t="str">
        <f>IF(A185="","",Inputs!$B$11-B185)</f>
        <v/>
      </c>
      <c r="L185" s="5" t="str">
        <f>IF(A185="","",IF(I185&lt;=0,"Sold out",IF(K185&gt;=Inputs!$B$18,"Dead",IF(K185&gt;=Inputs!$B$17,"Ageing",IF(K185&gt;=Inputs!$B$16,"Watch","Fresh")))))</f>
        <v/>
      </c>
      <c r="M185" s="5" t="str">
        <f t="shared" si="12"/>
        <v/>
      </c>
      <c r="N185" s="12" t="str">
        <f t="shared" si="13"/>
        <v/>
      </c>
      <c r="O185" s="36" t="str">
        <f t="shared" si="14"/>
        <v/>
      </c>
    </row>
    <row r="186" spans="1:15" x14ac:dyDescent="0.25">
      <c r="A186" s="34"/>
      <c r="B186" s="33"/>
      <c r="C186" s="34"/>
      <c r="D186" s="34"/>
      <c r="E186" s="34"/>
      <c r="F186" s="34"/>
      <c r="G186" s="35"/>
      <c r="H186" s="34"/>
      <c r="I186" s="5" t="str">
        <f t="shared" si="10"/>
        <v/>
      </c>
      <c r="J186" s="12" t="str">
        <f t="shared" si="11"/>
        <v/>
      </c>
      <c r="K186" s="37" t="str">
        <f>IF(A186="","",Inputs!$B$11-B186)</f>
        <v/>
      </c>
      <c r="L186" s="5" t="str">
        <f>IF(A186="","",IF(I186&lt;=0,"Sold out",IF(K186&gt;=Inputs!$B$18,"Dead",IF(K186&gt;=Inputs!$B$17,"Ageing",IF(K186&gt;=Inputs!$B$16,"Watch","Fresh")))))</f>
        <v/>
      </c>
      <c r="M186" s="5" t="str">
        <f t="shared" si="12"/>
        <v/>
      </c>
      <c r="N186" s="12" t="str">
        <f t="shared" si="13"/>
        <v/>
      </c>
      <c r="O186" s="36" t="str">
        <f t="shared" si="14"/>
        <v/>
      </c>
    </row>
    <row r="187" spans="1:15" x14ac:dyDescent="0.25">
      <c r="A187" s="34"/>
      <c r="B187" s="33"/>
      <c r="C187" s="34"/>
      <c r="D187" s="34"/>
      <c r="E187" s="34"/>
      <c r="F187" s="34"/>
      <c r="G187" s="35"/>
      <c r="H187" s="34"/>
      <c r="I187" s="5" t="str">
        <f t="shared" si="10"/>
        <v/>
      </c>
      <c r="J187" s="12" t="str">
        <f t="shared" si="11"/>
        <v/>
      </c>
      <c r="K187" s="37" t="str">
        <f>IF(A187="","",Inputs!$B$11-B187)</f>
        <v/>
      </c>
      <c r="L187" s="5" t="str">
        <f>IF(A187="","",IF(I187&lt;=0,"Sold out",IF(K187&gt;=Inputs!$B$18,"Dead",IF(K187&gt;=Inputs!$B$17,"Ageing",IF(K187&gt;=Inputs!$B$16,"Watch","Fresh")))))</f>
        <v/>
      </c>
      <c r="M187" s="5" t="str">
        <f t="shared" si="12"/>
        <v/>
      </c>
      <c r="N187" s="12" t="str">
        <f t="shared" si="13"/>
        <v/>
      </c>
      <c r="O187" s="36" t="str">
        <f t="shared" si="14"/>
        <v/>
      </c>
    </row>
    <row r="188" spans="1:15" x14ac:dyDescent="0.25">
      <c r="A188" s="34"/>
      <c r="B188" s="33"/>
      <c r="C188" s="34"/>
      <c r="D188" s="34"/>
      <c r="E188" s="34"/>
      <c r="F188" s="34"/>
      <c r="G188" s="35"/>
      <c r="H188" s="34"/>
      <c r="I188" s="5" t="str">
        <f t="shared" si="10"/>
        <v/>
      </c>
      <c r="J188" s="12" t="str">
        <f t="shared" si="11"/>
        <v/>
      </c>
      <c r="K188" s="37" t="str">
        <f>IF(A188="","",Inputs!$B$11-B188)</f>
        <v/>
      </c>
      <c r="L188" s="5" t="str">
        <f>IF(A188="","",IF(I188&lt;=0,"Sold out",IF(K188&gt;=Inputs!$B$18,"Dead",IF(K188&gt;=Inputs!$B$17,"Ageing",IF(K188&gt;=Inputs!$B$16,"Watch","Fresh")))))</f>
        <v/>
      </c>
      <c r="M188" s="5" t="str">
        <f t="shared" si="12"/>
        <v/>
      </c>
      <c r="N188" s="12" t="str">
        <f t="shared" si="13"/>
        <v/>
      </c>
      <c r="O188" s="36" t="str">
        <f t="shared" si="14"/>
        <v/>
      </c>
    </row>
    <row r="189" spans="1:15" x14ac:dyDescent="0.25">
      <c r="A189" s="34"/>
      <c r="B189" s="33"/>
      <c r="C189" s="34"/>
      <c r="D189" s="34"/>
      <c r="E189" s="34"/>
      <c r="F189" s="34"/>
      <c r="G189" s="35"/>
      <c r="H189" s="34"/>
      <c r="I189" s="5" t="str">
        <f t="shared" si="10"/>
        <v/>
      </c>
      <c r="J189" s="12" t="str">
        <f t="shared" si="11"/>
        <v/>
      </c>
      <c r="K189" s="37" t="str">
        <f>IF(A189="","",Inputs!$B$11-B189)</f>
        <v/>
      </c>
      <c r="L189" s="5" t="str">
        <f>IF(A189="","",IF(I189&lt;=0,"Sold out",IF(K189&gt;=Inputs!$B$18,"Dead",IF(K189&gt;=Inputs!$B$17,"Ageing",IF(K189&gt;=Inputs!$B$16,"Watch","Fresh")))))</f>
        <v/>
      </c>
      <c r="M189" s="5" t="str">
        <f t="shared" si="12"/>
        <v/>
      </c>
      <c r="N189" s="12" t="str">
        <f t="shared" si="13"/>
        <v/>
      </c>
      <c r="O189" s="36" t="str">
        <f t="shared" si="14"/>
        <v/>
      </c>
    </row>
    <row r="190" spans="1:15" x14ac:dyDescent="0.25">
      <c r="A190" s="34"/>
      <c r="B190" s="33"/>
      <c r="C190" s="34"/>
      <c r="D190" s="34"/>
      <c r="E190" s="34"/>
      <c r="F190" s="34"/>
      <c r="G190" s="35"/>
      <c r="H190" s="34"/>
      <c r="I190" s="5" t="str">
        <f t="shared" si="10"/>
        <v/>
      </c>
      <c r="J190" s="12" t="str">
        <f t="shared" si="11"/>
        <v/>
      </c>
      <c r="K190" s="37" t="str">
        <f>IF(A190="","",Inputs!$B$11-B190)</f>
        <v/>
      </c>
      <c r="L190" s="5" t="str">
        <f>IF(A190="","",IF(I190&lt;=0,"Sold out",IF(K190&gt;=Inputs!$B$18,"Dead",IF(K190&gt;=Inputs!$B$17,"Ageing",IF(K190&gt;=Inputs!$B$16,"Watch","Fresh")))))</f>
        <v/>
      </c>
      <c r="M190" s="5" t="str">
        <f t="shared" si="12"/>
        <v/>
      </c>
      <c r="N190" s="12" t="str">
        <f t="shared" si="13"/>
        <v/>
      </c>
      <c r="O190" s="36" t="str">
        <f t="shared" si="14"/>
        <v/>
      </c>
    </row>
    <row r="191" spans="1:15" x14ac:dyDescent="0.25">
      <c r="A191" s="34"/>
      <c r="B191" s="33"/>
      <c r="C191" s="34"/>
      <c r="D191" s="34"/>
      <c r="E191" s="34"/>
      <c r="F191" s="34"/>
      <c r="G191" s="35"/>
      <c r="H191" s="34"/>
      <c r="I191" s="5" t="str">
        <f t="shared" si="10"/>
        <v/>
      </c>
      <c r="J191" s="12" t="str">
        <f t="shared" si="11"/>
        <v/>
      </c>
      <c r="K191" s="37" t="str">
        <f>IF(A191="","",Inputs!$B$11-B191)</f>
        <v/>
      </c>
      <c r="L191" s="5" t="str">
        <f>IF(A191="","",IF(I191&lt;=0,"Sold out",IF(K191&gt;=Inputs!$B$18,"Dead",IF(K191&gt;=Inputs!$B$17,"Ageing",IF(K191&gt;=Inputs!$B$16,"Watch","Fresh")))))</f>
        <v/>
      </c>
      <c r="M191" s="5" t="str">
        <f t="shared" si="12"/>
        <v/>
      </c>
      <c r="N191" s="12" t="str">
        <f t="shared" si="13"/>
        <v/>
      </c>
      <c r="O191" s="36" t="str">
        <f t="shared" si="14"/>
        <v/>
      </c>
    </row>
    <row r="192" spans="1:15" x14ac:dyDescent="0.25">
      <c r="A192" s="34"/>
      <c r="B192" s="33"/>
      <c r="C192" s="34"/>
      <c r="D192" s="34"/>
      <c r="E192" s="34"/>
      <c r="F192" s="34"/>
      <c r="G192" s="35"/>
      <c r="H192" s="34"/>
      <c r="I192" s="5" t="str">
        <f t="shared" si="10"/>
        <v/>
      </c>
      <c r="J192" s="12" t="str">
        <f t="shared" si="11"/>
        <v/>
      </c>
      <c r="K192" s="37" t="str">
        <f>IF(A192="","",Inputs!$B$11-B192)</f>
        <v/>
      </c>
      <c r="L192" s="5" t="str">
        <f>IF(A192="","",IF(I192&lt;=0,"Sold out",IF(K192&gt;=Inputs!$B$18,"Dead",IF(K192&gt;=Inputs!$B$17,"Ageing",IF(K192&gt;=Inputs!$B$16,"Watch","Fresh")))))</f>
        <v/>
      </c>
      <c r="M192" s="5" t="str">
        <f t="shared" si="12"/>
        <v/>
      </c>
      <c r="N192" s="12" t="str">
        <f t="shared" si="13"/>
        <v/>
      </c>
      <c r="O192" s="36" t="str">
        <f t="shared" si="14"/>
        <v/>
      </c>
    </row>
    <row r="193" spans="1:15" x14ac:dyDescent="0.25">
      <c r="A193" s="34"/>
      <c r="B193" s="33"/>
      <c r="C193" s="34"/>
      <c r="D193" s="34"/>
      <c r="E193" s="34"/>
      <c r="F193" s="34"/>
      <c r="G193" s="35"/>
      <c r="H193" s="34"/>
      <c r="I193" s="5" t="str">
        <f t="shared" si="10"/>
        <v/>
      </c>
      <c r="J193" s="12" t="str">
        <f t="shared" si="11"/>
        <v/>
      </c>
      <c r="K193" s="37" t="str">
        <f>IF(A193="","",Inputs!$B$11-B193)</f>
        <v/>
      </c>
      <c r="L193" s="5" t="str">
        <f>IF(A193="","",IF(I193&lt;=0,"Sold out",IF(K193&gt;=Inputs!$B$18,"Dead",IF(K193&gt;=Inputs!$B$17,"Ageing",IF(K193&gt;=Inputs!$B$16,"Watch","Fresh")))))</f>
        <v/>
      </c>
      <c r="M193" s="5" t="str">
        <f t="shared" si="12"/>
        <v/>
      </c>
      <c r="N193" s="12" t="str">
        <f t="shared" si="13"/>
        <v/>
      </c>
      <c r="O193" s="36" t="str">
        <f t="shared" si="14"/>
        <v/>
      </c>
    </row>
    <row r="194" spans="1:15" x14ac:dyDescent="0.25">
      <c r="A194" s="34"/>
      <c r="B194" s="33"/>
      <c r="C194" s="34"/>
      <c r="D194" s="34"/>
      <c r="E194" s="34"/>
      <c r="F194" s="34"/>
      <c r="G194" s="35"/>
      <c r="H194" s="34"/>
      <c r="I194" s="5" t="str">
        <f t="shared" si="10"/>
        <v/>
      </c>
      <c r="J194" s="12" t="str">
        <f t="shared" si="11"/>
        <v/>
      </c>
      <c r="K194" s="37" t="str">
        <f>IF(A194="","",Inputs!$B$11-B194)</f>
        <v/>
      </c>
      <c r="L194" s="5" t="str">
        <f>IF(A194="","",IF(I194&lt;=0,"Sold out",IF(K194&gt;=Inputs!$B$18,"Dead",IF(K194&gt;=Inputs!$B$17,"Ageing",IF(K194&gt;=Inputs!$B$16,"Watch","Fresh")))))</f>
        <v/>
      </c>
      <c r="M194" s="5" t="str">
        <f t="shared" si="12"/>
        <v/>
      </c>
      <c r="N194" s="12" t="str">
        <f t="shared" si="13"/>
        <v/>
      </c>
      <c r="O194" s="36" t="str">
        <f t="shared" si="14"/>
        <v/>
      </c>
    </row>
    <row r="195" spans="1:15" x14ac:dyDescent="0.25">
      <c r="A195" s="34"/>
      <c r="B195" s="33"/>
      <c r="C195" s="34"/>
      <c r="D195" s="34"/>
      <c r="E195" s="34"/>
      <c r="F195" s="34"/>
      <c r="G195" s="35"/>
      <c r="H195" s="34"/>
      <c r="I195" s="5" t="str">
        <f t="shared" si="10"/>
        <v/>
      </c>
      <c r="J195" s="12" t="str">
        <f t="shared" si="11"/>
        <v/>
      </c>
      <c r="K195" s="37" t="str">
        <f>IF(A195="","",Inputs!$B$11-B195)</f>
        <v/>
      </c>
      <c r="L195" s="5" t="str">
        <f>IF(A195="","",IF(I195&lt;=0,"Sold out",IF(K195&gt;=Inputs!$B$18,"Dead",IF(K195&gt;=Inputs!$B$17,"Ageing",IF(K195&gt;=Inputs!$B$16,"Watch","Fresh")))))</f>
        <v/>
      </c>
      <c r="M195" s="5" t="str">
        <f t="shared" si="12"/>
        <v/>
      </c>
      <c r="N195" s="12" t="str">
        <f t="shared" si="13"/>
        <v/>
      </c>
      <c r="O195" s="36" t="str">
        <f t="shared" si="14"/>
        <v/>
      </c>
    </row>
    <row r="196" spans="1:15" x14ac:dyDescent="0.25">
      <c r="A196" s="34"/>
      <c r="B196" s="33"/>
      <c r="C196" s="34"/>
      <c r="D196" s="34"/>
      <c r="E196" s="34"/>
      <c r="F196" s="34"/>
      <c r="G196" s="35"/>
      <c r="H196" s="34"/>
      <c r="I196" s="5" t="str">
        <f t="shared" si="10"/>
        <v/>
      </c>
      <c r="J196" s="12" t="str">
        <f t="shared" si="11"/>
        <v/>
      </c>
      <c r="K196" s="37" t="str">
        <f>IF(A196="","",Inputs!$B$11-B196)</f>
        <v/>
      </c>
      <c r="L196" s="5" t="str">
        <f>IF(A196="","",IF(I196&lt;=0,"Sold out",IF(K196&gt;=Inputs!$B$18,"Dead",IF(K196&gt;=Inputs!$B$17,"Ageing",IF(K196&gt;=Inputs!$B$16,"Watch","Fresh")))))</f>
        <v/>
      </c>
      <c r="M196" s="5" t="str">
        <f t="shared" si="12"/>
        <v/>
      </c>
      <c r="N196" s="12" t="str">
        <f t="shared" si="13"/>
        <v/>
      </c>
      <c r="O196" s="36" t="str">
        <f t="shared" si="14"/>
        <v/>
      </c>
    </row>
    <row r="197" spans="1:15" x14ac:dyDescent="0.25">
      <c r="A197" s="34"/>
      <c r="B197" s="33"/>
      <c r="C197" s="34"/>
      <c r="D197" s="34"/>
      <c r="E197" s="34"/>
      <c r="F197" s="34"/>
      <c r="G197" s="35"/>
      <c r="H197" s="34"/>
      <c r="I197" s="5" t="str">
        <f t="shared" si="10"/>
        <v/>
      </c>
      <c r="J197" s="12" t="str">
        <f t="shared" si="11"/>
        <v/>
      </c>
      <c r="K197" s="37" t="str">
        <f>IF(A197="","",Inputs!$B$11-B197)</f>
        <v/>
      </c>
      <c r="L197" s="5" t="str">
        <f>IF(A197="","",IF(I197&lt;=0,"Sold out",IF(K197&gt;=Inputs!$B$18,"Dead",IF(K197&gt;=Inputs!$B$17,"Ageing",IF(K197&gt;=Inputs!$B$16,"Watch","Fresh")))))</f>
        <v/>
      </c>
      <c r="M197" s="5" t="str">
        <f t="shared" si="12"/>
        <v/>
      </c>
      <c r="N197" s="12" t="str">
        <f t="shared" si="13"/>
        <v/>
      </c>
      <c r="O197" s="36" t="str">
        <f t="shared" si="14"/>
        <v/>
      </c>
    </row>
    <row r="198" spans="1:15" x14ac:dyDescent="0.25">
      <c r="A198" s="34"/>
      <c r="B198" s="33"/>
      <c r="C198" s="34"/>
      <c r="D198" s="34"/>
      <c r="E198" s="34"/>
      <c r="F198" s="34"/>
      <c r="G198" s="35"/>
      <c r="H198" s="34"/>
      <c r="I198" s="5" t="str">
        <f t="shared" ref="I198:I261" si="15">IF(A198="","",F198-H198)</f>
        <v/>
      </c>
      <c r="J198" s="12" t="str">
        <f t="shared" ref="J198:J261" si="16">IF(A198="","",I198*G198)</f>
        <v/>
      </c>
      <c r="K198" s="37" t="str">
        <f>IF(A198="","",Inputs!$B$11-B198)</f>
        <v/>
      </c>
      <c r="L198" s="5" t="str">
        <f>IF(A198="","",IF(I198&lt;=0,"Sold out",IF(K198&gt;=Inputs!$B$18,"Dead",IF(K198&gt;=Inputs!$B$17,"Ageing",IF(K198&gt;=Inputs!$B$16,"Watch","Fresh")))))</f>
        <v/>
      </c>
      <c r="M198" s="5" t="str">
        <f t="shared" ref="M198:M261" si="17">IF(L198="","",IF(L198="Dead","Clearance / exchange with vendor",IF(L198="Ageing","Markdown 20-30%",IF(L198="Watch","Push in reels &amp; WhatsApp broadcast",IF(L198="Fresh","OK","-")))))</f>
        <v/>
      </c>
      <c r="N198" s="12" t="str">
        <f t="shared" ref="N198:N261" si="18">IF(A198="","",F198*G198)</f>
        <v/>
      </c>
      <c r="O198" s="36" t="str">
        <f t="shared" ref="O198:O261" si="19">IF(B198="","",DATE(YEAR(B198),MONTH(B198),1))</f>
        <v/>
      </c>
    </row>
    <row r="199" spans="1:15" x14ac:dyDescent="0.25">
      <c r="A199" s="34"/>
      <c r="B199" s="33"/>
      <c r="C199" s="34"/>
      <c r="D199" s="34"/>
      <c r="E199" s="34"/>
      <c r="F199" s="34"/>
      <c r="G199" s="35"/>
      <c r="H199" s="34"/>
      <c r="I199" s="5" t="str">
        <f t="shared" si="15"/>
        <v/>
      </c>
      <c r="J199" s="12" t="str">
        <f t="shared" si="16"/>
        <v/>
      </c>
      <c r="K199" s="37" t="str">
        <f>IF(A199="","",Inputs!$B$11-B199)</f>
        <v/>
      </c>
      <c r="L199" s="5" t="str">
        <f>IF(A199="","",IF(I199&lt;=0,"Sold out",IF(K199&gt;=Inputs!$B$18,"Dead",IF(K199&gt;=Inputs!$B$17,"Ageing",IF(K199&gt;=Inputs!$B$16,"Watch","Fresh")))))</f>
        <v/>
      </c>
      <c r="M199" s="5" t="str">
        <f t="shared" si="17"/>
        <v/>
      </c>
      <c r="N199" s="12" t="str">
        <f t="shared" si="18"/>
        <v/>
      </c>
      <c r="O199" s="36" t="str">
        <f t="shared" si="19"/>
        <v/>
      </c>
    </row>
    <row r="200" spans="1:15" x14ac:dyDescent="0.25">
      <c r="A200" s="34"/>
      <c r="B200" s="33"/>
      <c r="C200" s="34"/>
      <c r="D200" s="34"/>
      <c r="E200" s="34"/>
      <c r="F200" s="34"/>
      <c r="G200" s="35"/>
      <c r="H200" s="34"/>
      <c r="I200" s="5" t="str">
        <f t="shared" si="15"/>
        <v/>
      </c>
      <c r="J200" s="12" t="str">
        <f t="shared" si="16"/>
        <v/>
      </c>
      <c r="K200" s="37" t="str">
        <f>IF(A200="","",Inputs!$B$11-B200)</f>
        <v/>
      </c>
      <c r="L200" s="5" t="str">
        <f>IF(A200="","",IF(I200&lt;=0,"Sold out",IF(K200&gt;=Inputs!$B$18,"Dead",IF(K200&gt;=Inputs!$B$17,"Ageing",IF(K200&gt;=Inputs!$B$16,"Watch","Fresh")))))</f>
        <v/>
      </c>
      <c r="M200" s="5" t="str">
        <f t="shared" si="17"/>
        <v/>
      </c>
      <c r="N200" s="12" t="str">
        <f t="shared" si="18"/>
        <v/>
      </c>
      <c r="O200" s="36" t="str">
        <f t="shared" si="19"/>
        <v/>
      </c>
    </row>
    <row r="201" spans="1:15" x14ac:dyDescent="0.25">
      <c r="A201" s="34"/>
      <c r="B201" s="33"/>
      <c r="C201" s="34"/>
      <c r="D201" s="34"/>
      <c r="E201" s="34"/>
      <c r="F201" s="34"/>
      <c r="G201" s="35"/>
      <c r="H201" s="34"/>
      <c r="I201" s="5" t="str">
        <f t="shared" si="15"/>
        <v/>
      </c>
      <c r="J201" s="12" t="str">
        <f t="shared" si="16"/>
        <v/>
      </c>
      <c r="K201" s="37" t="str">
        <f>IF(A201="","",Inputs!$B$11-B201)</f>
        <v/>
      </c>
      <c r="L201" s="5" t="str">
        <f>IF(A201="","",IF(I201&lt;=0,"Sold out",IF(K201&gt;=Inputs!$B$18,"Dead",IF(K201&gt;=Inputs!$B$17,"Ageing",IF(K201&gt;=Inputs!$B$16,"Watch","Fresh")))))</f>
        <v/>
      </c>
      <c r="M201" s="5" t="str">
        <f t="shared" si="17"/>
        <v/>
      </c>
      <c r="N201" s="12" t="str">
        <f t="shared" si="18"/>
        <v/>
      </c>
      <c r="O201" s="36" t="str">
        <f t="shared" si="19"/>
        <v/>
      </c>
    </row>
    <row r="202" spans="1:15" x14ac:dyDescent="0.25">
      <c r="A202" s="34"/>
      <c r="B202" s="33"/>
      <c r="C202" s="34"/>
      <c r="D202" s="34"/>
      <c r="E202" s="34"/>
      <c r="F202" s="34"/>
      <c r="G202" s="35"/>
      <c r="H202" s="34"/>
      <c r="I202" s="5" t="str">
        <f t="shared" si="15"/>
        <v/>
      </c>
      <c r="J202" s="12" t="str">
        <f t="shared" si="16"/>
        <v/>
      </c>
      <c r="K202" s="37" t="str">
        <f>IF(A202="","",Inputs!$B$11-B202)</f>
        <v/>
      </c>
      <c r="L202" s="5" t="str">
        <f>IF(A202="","",IF(I202&lt;=0,"Sold out",IF(K202&gt;=Inputs!$B$18,"Dead",IF(K202&gt;=Inputs!$B$17,"Ageing",IF(K202&gt;=Inputs!$B$16,"Watch","Fresh")))))</f>
        <v/>
      </c>
      <c r="M202" s="5" t="str">
        <f t="shared" si="17"/>
        <v/>
      </c>
      <c r="N202" s="12" t="str">
        <f t="shared" si="18"/>
        <v/>
      </c>
      <c r="O202" s="36" t="str">
        <f t="shared" si="19"/>
        <v/>
      </c>
    </row>
    <row r="203" spans="1:15" x14ac:dyDescent="0.25">
      <c r="A203" s="34"/>
      <c r="B203" s="33"/>
      <c r="C203" s="34"/>
      <c r="D203" s="34"/>
      <c r="E203" s="34"/>
      <c r="F203" s="34"/>
      <c r="G203" s="35"/>
      <c r="H203" s="34"/>
      <c r="I203" s="5" t="str">
        <f t="shared" si="15"/>
        <v/>
      </c>
      <c r="J203" s="12" t="str">
        <f t="shared" si="16"/>
        <v/>
      </c>
      <c r="K203" s="37" t="str">
        <f>IF(A203="","",Inputs!$B$11-B203)</f>
        <v/>
      </c>
      <c r="L203" s="5" t="str">
        <f>IF(A203="","",IF(I203&lt;=0,"Sold out",IF(K203&gt;=Inputs!$B$18,"Dead",IF(K203&gt;=Inputs!$B$17,"Ageing",IF(K203&gt;=Inputs!$B$16,"Watch","Fresh")))))</f>
        <v/>
      </c>
      <c r="M203" s="5" t="str">
        <f t="shared" si="17"/>
        <v/>
      </c>
      <c r="N203" s="12" t="str">
        <f t="shared" si="18"/>
        <v/>
      </c>
      <c r="O203" s="36" t="str">
        <f t="shared" si="19"/>
        <v/>
      </c>
    </row>
    <row r="204" spans="1:15" x14ac:dyDescent="0.25">
      <c r="A204" s="34"/>
      <c r="B204" s="33"/>
      <c r="C204" s="34"/>
      <c r="D204" s="34"/>
      <c r="E204" s="34"/>
      <c r="F204" s="34"/>
      <c r="G204" s="35"/>
      <c r="H204" s="34"/>
      <c r="I204" s="5" t="str">
        <f t="shared" si="15"/>
        <v/>
      </c>
      <c r="J204" s="12" t="str">
        <f t="shared" si="16"/>
        <v/>
      </c>
      <c r="K204" s="37" t="str">
        <f>IF(A204="","",Inputs!$B$11-B204)</f>
        <v/>
      </c>
      <c r="L204" s="5" t="str">
        <f>IF(A204="","",IF(I204&lt;=0,"Sold out",IF(K204&gt;=Inputs!$B$18,"Dead",IF(K204&gt;=Inputs!$B$17,"Ageing",IF(K204&gt;=Inputs!$B$16,"Watch","Fresh")))))</f>
        <v/>
      </c>
      <c r="M204" s="5" t="str">
        <f t="shared" si="17"/>
        <v/>
      </c>
      <c r="N204" s="12" t="str">
        <f t="shared" si="18"/>
        <v/>
      </c>
      <c r="O204" s="36" t="str">
        <f t="shared" si="19"/>
        <v/>
      </c>
    </row>
    <row r="205" spans="1:15" x14ac:dyDescent="0.25">
      <c r="A205" s="34"/>
      <c r="B205" s="33"/>
      <c r="C205" s="34"/>
      <c r="D205" s="34"/>
      <c r="E205" s="34"/>
      <c r="F205" s="34"/>
      <c r="G205" s="35"/>
      <c r="H205" s="34"/>
      <c r="I205" s="5" t="str">
        <f t="shared" si="15"/>
        <v/>
      </c>
      <c r="J205" s="12" t="str">
        <f t="shared" si="16"/>
        <v/>
      </c>
      <c r="K205" s="37" t="str">
        <f>IF(A205="","",Inputs!$B$11-B205)</f>
        <v/>
      </c>
      <c r="L205" s="5" t="str">
        <f>IF(A205="","",IF(I205&lt;=0,"Sold out",IF(K205&gt;=Inputs!$B$18,"Dead",IF(K205&gt;=Inputs!$B$17,"Ageing",IF(K205&gt;=Inputs!$B$16,"Watch","Fresh")))))</f>
        <v/>
      </c>
      <c r="M205" s="5" t="str">
        <f t="shared" si="17"/>
        <v/>
      </c>
      <c r="N205" s="12" t="str">
        <f t="shared" si="18"/>
        <v/>
      </c>
      <c r="O205" s="36" t="str">
        <f t="shared" si="19"/>
        <v/>
      </c>
    </row>
    <row r="206" spans="1:15" x14ac:dyDescent="0.25">
      <c r="A206" s="34"/>
      <c r="B206" s="33"/>
      <c r="C206" s="34"/>
      <c r="D206" s="34"/>
      <c r="E206" s="34"/>
      <c r="F206" s="34"/>
      <c r="G206" s="35"/>
      <c r="H206" s="34"/>
      <c r="I206" s="5" t="str">
        <f t="shared" si="15"/>
        <v/>
      </c>
      <c r="J206" s="12" t="str">
        <f t="shared" si="16"/>
        <v/>
      </c>
      <c r="K206" s="37" t="str">
        <f>IF(A206="","",Inputs!$B$11-B206)</f>
        <v/>
      </c>
      <c r="L206" s="5" t="str">
        <f>IF(A206="","",IF(I206&lt;=0,"Sold out",IF(K206&gt;=Inputs!$B$18,"Dead",IF(K206&gt;=Inputs!$B$17,"Ageing",IF(K206&gt;=Inputs!$B$16,"Watch","Fresh")))))</f>
        <v/>
      </c>
      <c r="M206" s="5" t="str">
        <f t="shared" si="17"/>
        <v/>
      </c>
      <c r="N206" s="12" t="str">
        <f t="shared" si="18"/>
        <v/>
      </c>
      <c r="O206" s="36" t="str">
        <f t="shared" si="19"/>
        <v/>
      </c>
    </row>
    <row r="207" spans="1:15" x14ac:dyDescent="0.25">
      <c r="A207" s="34"/>
      <c r="B207" s="33"/>
      <c r="C207" s="34"/>
      <c r="D207" s="34"/>
      <c r="E207" s="34"/>
      <c r="F207" s="34"/>
      <c r="G207" s="35"/>
      <c r="H207" s="34"/>
      <c r="I207" s="5" t="str">
        <f t="shared" si="15"/>
        <v/>
      </c>
      <c r="J207" s="12" t="str">
        <f t="shared" si="16"/>
        <v/>
      </c>
      <c r="K207" s="37" t="str">
        <f>IF(A207="","",Inputs!$B$11-B207)</f>
        <v/>
      </c>
      <c r="L207" s="5" t="str">
        <f>IF(A207="","",IF(I207&lt;=0,"Sold out",IF(K207&gt;=Inputs!$B$18,"Dead",IF(K207&gt;=Inputs!$B$17,"Ageing",IF(K207&gt;=Inputs!$B$16,"Watch","Fresh")))))</f>
        <v/>
      </c>
      <c r="M207" s="5" t="str">
        <f t="shared" si="17"/>
        <v/>
      </c>
      <c r="N207" s="12" t="str">
        <f t="shared" si="18"/>
        <v/>
      </c>
      <c r="O207" s="36" t="str">
        <f t="shared" si="19"/>
        <v/>
      </c>
    </row>
    <row r="208" spans="1:15" x14ac:dyDescent="0.25">
      <c r="A208" s="34"/>
      <c r="B208" s="33"/>
      <c r="C208" s="34"/>
      <c r="D208" s="34"/>
      <c r="E208" s="34"/>
      <c r="F208" s="34"/>
      <c r="G208" s="35"/>
      <c r="H208" s="34"/>
      <c r="I208" s="5" t="str">
        <f t="shared" si="15"/>
        <v/>
      </c>
      <c r="J208" s="12" t="str">
        <f t="shared" si="16"/>
        <v/>
      </c>
      <c r="K208" s="37" t="str">
        <f>IF(A208="","",Inputs!$B$11-B208)</f>
        <v/>
      </c>
      <c r="L208" s="5" t="str">
        <f>IF(A208="","",IF(I208&lt;=0,"Sold out",IF(K208&gt;=Inputs!$B$18,"Dead",IF(K208&gt;=Inputs!$B$17,"Ageing",IF(K208&gt;=Inputs!$B$16,"Watch","Fresh")))))</f>
        <v/>
      </c>
      <c r="M208" s="5" t="str">
        <f t="shared" si="17"/>
        <v/>
      </c>
      <c r="N208" s="12" t="str">
        <f t="shared" si="18"/>
        <v/>
      </c>
      <c r="O208" s="36" t="str">
        <f t="shared" si="19"/>
        <v/>
      </c>
    </row>
    <row r="209" spans="1:15" x14ac:dyDescent="0.25">
      <c r="A209" s="34"/>
      <c r="B209" s="33"/>
      <c r="C209" s="34"/>
      <c r="D209" s="34"/>
      <c r="E209" s="34"/>
      <c r="F209" s="34"/>
      <c r="G209" s="35"/>
      <c r="H209" s="34"/>
      <c r="I209" s="5" t="str">
        <f t="shared" si="15"/>
        <v/>
      </c>
      <c r="J209" s="12" t="str">
        <f t="shared" si="16"/>
        <v/>
      </c>
      <c r="K209" s="37" t="str">
        <f>IF(A209="","",Inputs!$B$11-B209)</f>
        <v/>
      </c>
      <c r="L209" s="5" t="str">
        <f>IF(A209="","",IF(I209&lt;=0,"Sold out",IF(K209&gt;=Inputs!$B$18,"Dead",IF(K209&gt;=Inputs!$B$17,"Ageing",IF(K209&gt;=Inputs!$B$16,"Watch","Fresh")))))</f>
        <v/>
      </c>
      <c r="M209" s="5" t="str">
        <f t="shared" si="17"/>
        <v/>
      </c>
      <c r="N209" s="12" t="str">
        <f t="shared" si="18"/>
        <v/>
      </c>
      <c r="O209" s="36" t="str">
        <f t="shared" si="19"/>
        <v/>
      </c>
    </row>
    <row r="210" spans="1:15" x14ac:dyDescent="0.25">
      <c r="A210" s="34"/>
      <c r="B210" s="33"/>
      <c r="C210" s="34"/>
      <c r="D210" s="34"/>
      <c r="E210" s="34"/>
      <c r="F210" s="34"/>
      <c r="G210" s="35"/>
      <c r="H210" s="34"/>
      <c r="I210" s="5" t="str">
        <f t="shared" si="15"/>
        <v/>
      </c>
      <c r="J210" s="12" t="str">
        <f t="shared" si="16"/>
        <v/>
      </c>
      <c r="K210" s="37" t="str">
        <f>IF(A210="","",Inputs!$B$11-B210)</f>
        <v/>
      </c>
      <c r="L210" s="5" t="str">
        <f>IF(A210="","",IF(I210&lt;=0,"Sold out",IF(K210&gt;=Inputs!$B$18,"Dead",IF(K210&gt;=Inputs!$B$17,"Ageing",IF(K210&gt;=Inputs!$B$16,"Watch","Fresh")))))</f>
        <v/>
      </c>
      <c r="M210" s="5" t="str">
        <f t="shared" si="17"/>
        <v/>
      </c>
      <c r="N210" s="12" t="str">
        <f t="shared" si="18"/>
        <v/>
      </c>
      <c r="O210" s="36" t="str">
        <f t="shared" si="19"/>
        <v/>
      </c>
    </row>
    <row r="211" spans="1:15" x14ac:dyDescent="0.25">
      <c r="A211" s="34"/>
      <c r="B211" s="33"/>
      <c r="C211" s="34"/>
      <c r="D211" s="34"/>
      <c r="E211" s="34"/>
      <c r="F211" s="34"/>
      <c r="G211" s="35"/>
      <c r="H211" s="34"/>
      <c r="I211" s="5" t="str">
        <f t="shared" si="15"/>
        <v/>
      </c>
      <c r="J211" s="12" t="str">
        <f t="shared" si="16"/>
        <v/>
      </c>
      <c r="K211" s="37" t="str">
        <f>IF(A211="","",Inputs!$B$11-B211)</f>
        <v/>
      </c>
      <c r="L211" s="5" t="str">
        <f>IF(A211="","",IF(I211&lt;=0,"Sold out",IF(K211&gt;=Inputs!$B$18,"Dead",IF(K211&gt;=Inputs!$B$17,"Ageing",IF(K211&gt;=Inputs!$B$16,"Watch","Fresh")))))</f>
        <v/>
      </c>
      <c r="M211" s="5" t="str">
        <f t="shared" si="17"/>
        <v/>
      </c>
      <c r="N211" s="12" t="str">
        <f t="shared" si="18"/>
        <v/>
      </c>
      <c r="O211" s="36" t="str">
        <f t="shared" si="19"/>
        <v/>
      </c>
    </row>
    <row r="212" spans="1:15" x14ac:dyDescent="0.25">
      <c r="A212" s="34"/>
      <c r="B212" s="33"/>
      <c r="C212" s="34"/>
      <c r="D212" s="34"/>
      <c r="E212" s="34"/>
      <c r="F212" s="34"/>
      <c r="G212" s="35"/>
      <c r="H212" s="34"/>
      <c r="I212" s="5" t="str">
        <f t="shared" si="15"/>
        <v/>
      </c>
      <c r="J212" s="12" t="str">
        <f t="shared" si="16"/>
        <v/>
      </c>
      <c r="K212" s="37" t="str">
        <f>IF(A212="","",Inputs!$B$11-B212)</f>
        <v/>
      </c>
      <c r="L212" s="5" t="str">
        <f>IF(A212="","",IF(I212&lt;=0,"Sold out",IF(K212&gt;=Inputs!$B$18,"Dead",IF(K212&gt;=Inputs!$B$17,"Ageing",IF(K212&gt;=Inputs!$B$16,"Watch","Fresh")))))</f>
        <v/>
      </c>
      <c r="M212" s="5" t="str">
        <f t="shared" si="17"/>
        <v/>
      </c>
      <c r="N212" s="12" t="str">
        <f t="shared" si="18"/>
        <v/>
      </c>
      <c r="O212" s="36" t="str">
        <f t="shared" si="19"/>
        <v/>
      </c>
    </row>
    <row r="213" spans="1:15" x14ac:dyDescent="0.25">
      <c r="A213" s="34"/>
      <c r="B213" s="33"/>
      <c r="C213" s="34"/>
      <c r="D213" s="34"/>
      <c r="E213" s="34"/>
      <c r="F213" s="34"/>
      <c r="G213" s="35"/>
      <c r="H213" s="34"/>
      <c r="I213" s="5" t="str">
        <f t="shared" si="15"/>
        <v/>
      </c>
      <c r="J213" s="12" t="str">
        <f t="shared" si="16"/>
        <v/>
      </c>
      <c r="K213" s="37" t="str">
        <f>IF(A213="","",Inputs!$B$11-B213)</f>
        <v/>
      </c>
      <c r="L213" s="5" t="str">
        <f>IF(A213="","",IF(I213&lt;=0,"Sold out",IF(K213&gt;=Inputs!$B$18,"Dead",IF(K213&gt;=Inputs!$B$17,"Ageing",IF(K213&gt;=Inputs!$B$16,"Watch","Fresh")))))</f>
        <v/>
      </c>
      <c r="M213" s="5" t="str">
        <f t="shared" si="17"/>
        <v/>
      </c>
      <c r="N213" s="12" t="str">
        <f t="shared" si="18"/>
        <v/>
      </c>
      <c r="O213" s="36" t="str">
        <f t="shared" si="19"/>
        <v/>
      </c>
    </row>
    <row r="214" spans="1:15" x14ac:dyDescent="0.25">
      <c r="A214" s="34"/>
      <c r="B214" s="33"/>
      <c r="C214" s="34"/>
      <c r="D214" s="34"/>
      <c r="E214" s="34"/>
      <c r="F214" s="34"/>
      <c r="G214" s="35"/>
      <c r="H214" s="34"/>
      <c r="I214" s="5" t="str">
        <f t="shared" si="15"/>
        <v/>
      </c>
      <c r="J214" s="12" t="str">
        <f t="shared" si="16"/>
        <v/>
      </c>
      <c r="K214" s="37" t="str">
        <f>IF(A214="","",Inputs!$B$11-B214)</f>
        <v/>
      </c>
      <c r="L214" s="5" t="str">
        <f>IF(A214="","",IF(I214&lt;=0,"Sold out",IF(K214&gt;=Inputs!$B$18,"Dead",IF(K214&gt;=Inputs!$B$17,"Ageing",IF(K214&gt;=Inputs!$B$16,"Watch","Fresh")))))</f>
        <v/>
      </c>
      <c r="M214" s="5" t="str">
        <f t="shared" si="17"/>
        <v/>
      </c>
      <c r="N214" s="12" t="str">
        <f t="shared" si="18"/>
        <v/>
      </c>
      <c r="O214" s="36" t="str">
        <f t="shared" si="19"/>
        <v/>
      </c>
    </row>
    <row r="215" spans="1:15" x14ac:dyDescent="0.25">
      <c r="A215" s="34"/>
      <c r="B215" s="33"/>
      <c r="C215" s="34"/>
      <c r="D215" s="34"/>
      <c r="E215" s="34"/>
      <c r="F215" s="34"/>
      <c r="G215" s="35"/>
      <c r="H215" s="34"/>
      <c r="I215" s="5" t="str">
        <f t="shared" si="15"/>
        <v/>
      </c>
      <c r="J215" s="12" t="str">
        <f t="shared" si="16"/>
        <v/>
      </c>
      <c r="K215" s="37" t="str">
        <f>IF(A215="","",Inputs!$B$11-B215)</f>
        <v/>
      </c>
      <c r="L215" s="5" t="str">
        <f>IF(A215="","",IF(I215&lt;=0,"Sold out",IF(K215&gt;=Inputs!$B$18,"Dead",IF(K215&gt;=Inputs!$B$17,"Ageing",IF(K215&gt;=Inputs!$B$16,"Watch","Fresh")))))</f>
        <v/>
      </c>
      <c r="M215" s="5" t="str">
        <f t="shared" si="17"/>
        <v/>
      </c>
      <c r="N215" s="12" t="str">
        <f t="shared" si="18"/>
        <v/>
      </c>
      <c r="O215" s="36" t="str">
        <f t="shared" si="19"/>
        <v/>
      </c>
    </row>
    <row r="216" spans="1:15" x14ac:dyDescent="0.25">
      <c r="A216" s="34"/>
      <c r="B216" s="33"/>
      <c r="C216" s="34"/>
      <c r="D216" s="34"/>
      <c r="E216" s="34"/>
      <c r="F216" s="34"/>
      <c r="G216" s="35"/>
      <c r="H216" s="34"/>
      <c r="I216" s="5" t="str">
        <f t="shared" si="15"/>
        <v/>
      </c>
      <c r="J216" s="12" t="str">
        <f t="shared" si="16"/>
        <v/>
      </c>
      <c r="K216" s="37" t="str">
        <f>IF(A216="","",Inputs!$B$11-B216)</f>
        <v/>
      </c>
      <c r="L216" s="5" t="str">
        <f>IF(A216="","",IF(I216&lt;=0,"Sold out",IF(K216&gt;=Inputs!$B$18,"Dead",IF(K216&gt;=Inputs!$B$17,"Ageing",IF(K216&gt;=Inputs!$B$16,"Watch","Fresh")))))</f>
        <v/>
      </c>
      <c r="M216" s="5" t="str">
        <f t="shared" si="17"/>
        <v/>
      </c>
      <c r="N216" s="12" t="str">
        <f t="shared" si="18"/>
        <v/>
      </c>
      <c r="O216" s="36" t="str">
        <f t="shared" si="19"/>
        <v/>
      </c>
    </row>
    <row r="217" spans="1:15" x14ac:dyDescent="0.25">
      <c r="A217" s="34"/>
      <c r="B217" s="33"/>
      <c r="C217" s="34"/>
      <c r="D217" s="34"/>
      <c r="E217" s="34"/>
      <c r="F217" s="34"/>
      <c r="G217" s="35"/>
      <c r="H217" s="34"/>
      <c r="I217" s="5" t="str">
        <f t="shared" si="15"/>
        <v/>
      </c>
      <c r="J217" s="12" t="str">
        <f t="shared" si="16"/>
        <v/>
      </c>
      <c r="K217" s="37" t="str">
        <f>IF(A217="","",Inputs!$B$11-B217)</f>
        <v/>
      </c>
      <c r="L217" s="5" t="str">
        <f>IF(A217="","",IF(I217&lt;=0,"Sold out",IF(K217&gt;=Inputs!$B$18,"Dead",IF(K217&gt;=Inputs!$B$17,"Ageing",IF(K217&gt;=Inputs!$B$16,"Watch","Fresh")))))</f>
        <v/>
      </c>
      <c r="M217" s="5" t="str">
        <f t="shared" si="17"/>
        <v/>
      </c>
      <c r="N217" s="12" t="str">
        <f t="shared" si="18"/>
        <v/>
      </c>
      <c r="O217" s="36" t="str">
        <f t="shared" si="19"/>
        <v/>
      </c>
    </row>
    <row r="218" spans="1:15" x14ac:dyDescent="0.25">
      <c r="A218" s="34"/>
      <c r="B218" s="33"/>
      <c r="C218" s="34"/>
      <c r="D218" s="34"/>
      <c r="E218" s="34"/>
      <c r="F218" s="34"/>
      <c r="G218" s="35"/>
      <c r="H218" s="34"/>
      <c r="I218" s="5" t="str">
        <f t="shared" si="15"/>
        <v/>
      </c>
      <c r="J218" s="12" t="str">
        <f t="shared" si="16"/>
        <v/>
      </c>
      <c r="K218" s="37" t="str">
        <f>IF(A218="","",Inputs!$B$11-B218)</f>
        <v/>
      </c>
      <c r="L218" s="5" t="str">
        <f>IF(A218="","",IF(I218&lt;=0,"Sold out",IF(K218&gt;=Inputs!$B$18,"Dead",IF(K218&gt;=Inputs!$B$17,"Ageing",IF(K218&gt;=Inputs!$B$16,"Watch","Fresh")))))</f>
        <v/>
      </c>
      <c r="M218" s="5" t="str">
        <f t="shared" si="17"/>
        <v/>
      </c>
      <c r="N218" s="12" t="str">
        <f t="shared" si="18"/>
        <v/>
      </c>
      <c r="O218" s="36" t="str">
        <f t="shared" si="19"/>
        <v/>
      </c>
    </row>
    <row r="219" spans="1:15" x14ac:dyDescent="0.25">
      <c r="A219" s="34"/>
      <c r="B219" s="33"/>
      <c r="C219" s="34"/>
      <c r="D219" s="34"/>
      <c r="E219" s="34"/>
      <c r="F219" s="34"/>
      <c r="G219" s="35"/>
      <c r="H219" s="34"/>
      <c r="I219" s="5" t="str">
        <f t="shared" si="15"/>
        <v/>
      </c>
      <c r="J219" s="12" t="str">
        <f t="shared" si="16"/>
        <v/>
      </c>
      <c r="K219" s="37" t="str">
        <f>IF(A219="","",Inputs!$B$11-B219)</f>
        <v/>
      </c>
      <c r="L219" s="5" t="str">
        <f>IF(A219="","",IF(I219&lt;=0,"Sold out",IF(K219&gt;=Inputs!$B$18,"Dead",IF(K219&gt;=Inputs!$B$17,"Ageing",IF(K219&gt;=Inputs!$B$16,"Watch","Fresh")))))</f>
        <v/>
      </c>
      <c r="M219" s="5" t="str">
        <f t="shared" si="17"/>
        <v/>
      </c>
      <c r="N219" s="12" t="str">
        <f t="shared" si="18"/>
        <v/>
      </c>
      <c r="O219" s="36" t="str">
        <f t="shared" si="19"/>
        <v/>
      </c>
    </row>
    <row r="220" spans="1:15" x14ac:dyDescent="0.25">
      <c r="A220" s="34"/>
      <c r="B220" s="33"/>
      <c r="C220" s="34"/>
      <c r="D220" s="34"/>
      <c r="E220" s="34"/>
      <c r="F220" s="34"/>
      <c r="G220" s="35"/>
      <c r="H220" s="34"/>
      <c r="I220" s="5" t="str">
        <f t="shared" si="15"/>
        <v/>
      </c>
      <c r="J220" s="12" t="str">
        <f t="shared" si="16"/>
        <v/>
      </c>
      <c r="K220" s="37" t="str">
        <f>IF(A220="","",Inputs!$B$11-B220)</f>
        <v/>
      </c>
      <c r="L220" s="5" t="str">
        <f>IF(A220="","",IF(I220&lt;=0,"Sold out",IF(K220&gt;=Inputs!$B$18,"Dead",IF(K220&gt;=Inputs!$B$17,"Ageing",IF(K220&gt;=Inputs!$B$16,"Watch","Fresh")))))</f>
        <v/>
      </c>
      <c r="M220" s="5" t="str">
        <f t="shared" si="17"/>
        <v/>
      </c>
      <c r="N220" s="12" t="str">
        <f t="shared" si="18"/>
        <v/>
      </c>
      <c r="O220" s="36" t="str">
        <f t="shared" si="19"/>
        <v/>
      </c>
    </row>
    <row r="221" spans="1:15" x14ac:dyDescent="0.25">
      <c r="A221" s="34"/>
      <c r="B221" s="33"/>
      <c r="C221" s="34"/>
      <c r="D221" s="34"/>
      <c r="E221" s="34"/>
      <c r="F221" s="34"/>
      <c r="G221" s="35"/>
      <c r="H221" s="34"/>
      <c r="I221" s="5" t="str">
        <f t="shared" si="15"/>
        <v/>
      </c>
      <c r="J221" s="12" t="str">
        <f t="shared" si="16"/>
        <v/>
      </c>
      <c r="K221" s="37" t="str">
        <f>IF(A221="","",Inputs!$B$11-B221)</f>
        <v/>
      </c>
      <c r="L221" s="5" t="str">
        <f>IF(A221="","",IF(I221&lt;=0,"Sold out",IF(K221&gt;=Inputs!$B$18,"Dead",IF(K221&gt;=Inputs!$B$17,"Ageing",IF(K221&gt;=Inputs!$B$16,"Watch","Fresh")))))</f>
        <v/>
      </c>
      <c r="M221" s="5" t="str">
        <f t="shared" si="17"/>
        <v/>
      </c>
      <c r="N221" s="12" t="str">
        <f t="shared" si="18"/>
        <v/>
      </c>
      <c r="O221" s="36" t="str">
        <f t="shared" si="19"/>
        <v/>
      </c>
    </row>
    <row r="222" spans="1:15" x14ac:dyDescent="0.25">
      <c r="A222" s="34"/>
      <c r="B222" s="33"/>
      <c r="C222" s="34"/>
      <c r="D222" s="34"/>
      <c r="E222" s="34"/>
      <c r="F222" s="34"/>
      <c r="G222" s="35"/>
      <c r="H222" s="34"/>
      <c r="I222" s="5" t="str">
        <f t="shared" si="15"/>
        <v/>
      </c>
      <c r="J222" s="12" t="str">
        <f t="shared" si="16"/>
        <v/>
      </c>
      <c r="K222" s="37" t="str">
        <f>IF(A222="","",Inputs!$B$11-B222)</f>
        <v/>
      </c>
      <c r="L222" s="5" t="str">
        <f>IF(A222="","",IF(I222&lt;=0,"Sold out",IF(K222&gt;=Inputs!$B$18,"Dead",IF(K222&gt;=Inputs!$B$17,"Ageing",IF(K222&gt;=Inputs!$B$16,"Watch","Fresh")))))</f>
        <v/>
      </c>
      <c r="M222" s="5" t="str">
        <f t="shared" si="17"/>
        <v/>
      </c>
      <c r="N222" s="12" t="str">
        <f t="shared" si="18"/>
        <v/>
      </c>
      <c r="O222" s="36" t="str">
        <f t="shared" si="19"/>
        <v/>
      </c>
    </row>
    <row r="223" spans="1:15" x14ac:dyDescent="0.25">
      <c r="A223" s="34"/>
      <c r="B223" s="33"/>
      <c r="C223" s="34"/>
      <c r="D223" s="34"/>
      <c r="E223" s="34"/>
      <c r="F223" s="34"/>
      <c r="G223" s="35"/>
      <c r="H223" s="34"/>
      <c r="I223" s="5" t="str">
        <f t="shared" si="15"/>
        <v/>
      </c>
      <c r="J223" s="12" t="str">
        <f t="shared" si="16"/>
        <v/>
      </c>
      <c r="K223" s="37" t="str">
        <f>IF(A223="","",Inputs!$B$11-B223)</f>
        <v/>
      </c>
      <c r="L223" s="5" t="str">
        <f>IF(A223="","",IF(I223&lt;=0,"Sold out",IF(K223&gt;=Inputs!$B$18,"Dead",IF(K223&gt;=Inputs!$B$17,"Ageing",IF(K223&gt;=Inputs!$B$16,"Watch","Fresh")))))</f>
        <v/>
      </c>
      <c r="M223" s="5" t="str">
        <f t="shared" si="17"/>
        <v/>
      </c>
      <c r="N223" s="12" t="str">
        <f t="shared" si="18"/>
        <v/>
      </c>
      <c r="O223" s="36" t="str">
        <f t="shared" si="19"/>
        <v/>
      </c>
    </row>
    <row r="224" spans="1:15" x14ac:dyDescent="0.25">
      <c r="A224" s="34"/>
      <c r="B224" s="33"/>
      <c r="C224" s="34"/>
      <c r="D224" s="34"/>
      <c r="E224" s="34"/>
      <c r="F224" s="34"/>
      <c r="G224" s="35"/>
      <c r="H224" s="34"/>
      <c r="I224" s="5" t="str">
        <f t="shared" si="15"/>
        <v/>
      </c>
      <c r="J224" s="12" t="str">
        <f t="shared" si="16"/>
        <v/>
      </c>
      <c r="K224" s="37" t="str">
        <f>IF(A224="","",Inputs!$B$11-B224)</f>
        <v/>
      </c>
      <c r="L224" s="5" t="str">
        <f>IF(A224="","",IF(I224&lt;=0,"Sold out",IF(K224&gt;=Inputs!$B$18,"Dead",IF(K224&gt;=Inputs!$B$17,"Ageing",IF(K224&gt;=Inputs!$B$16,"Watch","Fresh")))))</f>
        <v/>
      </c>
      <c r="M224" s="5" t="str">
        <f t="shared" si="17"/>
        <v/>
      </c>
      <c r="N224" s="12" t="str">
        <f t="shared" si="18"/>
        <v/>
      </c>
      <c r="O224" s="36" t="str">
        <f t="shared" si="19"/>
        <v/>
      </c>
    </row>
    <row r="225" spans="1:15" x14ac:dyDescent="0.25">
      <c r="A225" s="34"/>
      <c r="B225" s="33"/>
      <c r="C225" s="34"/>
      <c r="D225" s="34"/>
      <c r="E225" s="34"/>
      <c r="F225" s="34"/>
      <c r="G225" s="35"/>
      <c r="H225" s="34"/>
      <c r="I225" s="5" t="str">
        <f t="shared" si="15"/>
        <v/>
      </c>
      <c r="J225" s="12" t="str">
        <f t="shared" si="16"/>
        <v/>
      </c>
      <c r="K225" s="37" t="str">
        <f>IF(A225="","",Inputs!$B$11-B225)</f>
        <v/>
      </c>
      <c r="L225" s="5" t="str">
        <f>IF(A225="","",IF(I225&lt;=0,"Sold out",IF(K225&gt;=Inputs!$B$18,"Dead",IF(K225&gt;=Inputs!$B$17,"Ageing",IF(K225&gt;=Inputs!$B$16,"Watch","Fresh")))))</f>
        <v/>
      </c>
      <c r="M225" s="5" t="str">
        <f t="shared" si="17"/>
        <v/>
      </c>
      <c r="N225" s="12" t="str">
        <f t="shared" si="18"/>
        <v/>
      </c>
      <c r="O225" s="36" t="str">
        <f t="shared" si="19"/>
        <v/>
      </c>
    </row>
    <row r="226" spans="1:15" x14ac:dyDescent="0.25">
      <c r="A226" s="34"/>
      <c r="B226" s="33"/>
      <c r="C226" s="34"/>
      <c r="D226" s="34"/>
      <c r="E226" s="34"/>
      <c r="F226" s="34"/>
      <c r="G226" s="35"/>
      <c r="H226" s="34"/>
      <c r="I226" s="5" t="str">
        <f t="shared" si="15"/>
        <v/>
      </c>
      <c r="J226" s="12" t="str">
        <f t="shared" si="16"/>
        <v/>
      </c>
      <c r="K226" s="37" t="str">
        <f>IF(A226="","",Inputs!$B$11-B226)</f>
        <v/>
      </c>
      <c r="L226" s="5" t="str">
        <f>IF(A226="","",IF(I226&lt;=0,"Sold out",IF(K226&gt;=Inputs!$B$18,"Dead",IF(K226&gt;=Inputs!$B$17,"Ageing",IF(K226&gt;=Inputs!$B$16,"Watch","Fresh")))))</f>
        <v/>
      </c>
      <c r="M226" s="5" t="str">
        <f t="shared" si="17"/>
        <v/>
      </c>
      <c r="N226" s="12" t="str">
        <f t="shared" si="18"/>
        <v/>
      </c>
      <c r="O226" s="36" t="str">
        <f t="shared" si="19"/>
        <v/>
      </c>
    </row>
    <row r="227" spans="1:15" x14ac:dyDescent="0.25">
      <c r="A227" s="34"/>
      <c r="B227" s="33"/>
      <c r="C227" s="34"/>
      <c r="D227" s="34"/>
      <c r="E227" s="34"/>
      <c r="F227" s="34"/>
      <c r="G227" s="35"/>
      <c r="H227" s="34"/>
      <c r="I227" s="5" t="str">
        <f t="shared" si="15"/>
        <v/>
      </c>
      <c r="J227" s="12" t="str">
        <f t="shared" si="16"/>
        <v/>
      </c>
      <c r="K227" s="37" t="str">
        <f>IF(A227="","",Inputs!$B$11-B227)</f>
        <v/>
      </c>
      <c r="L227" s="5" t="str">
        <f>IF(A227="","",IF(I227&lt;=0,"Sold out",IF(K227&gt;=Inputs!$B$18,"Dead",IF(K227&gt;=Inputs!$B$17,"Ageing",IF(K227&gt;=Inputs!$B$16,"Watch","Fresh")))))</f>
        <v/>
      </c>
      <c r="M227" s="5" t="str">
        <f t="shared" si="17"/>
        <v/>
      </c>
      <c r="N227" s="12" t="str">
        <f t="shared" si="18"/>
        <v/>
      </c>
      <c r="O227" s="36" t="str">
        <f t="shared" si="19"/>
        <v/>
      </c>
    </row>
    <row r="228" spans="1:15" x14ac:dyDescent="0.25">
      <c r="A228" s="34"/>
      <c r="B228" s="33"/>
      <c r="C228" s="34"/>
      <c r="D228" s="34"/>
      <c r="E228" s="34"/>
      <c r="F228" s="34"/>
      <c r="G228" s="35"/>
      <c r="H228" s="34"/>
      <c r="I228" s="5" t="str">
        <f t="shared" si="15"/>
        <v/>
      </c>
      <c r="J228" s="12" t="str">
        <f t="shared" si="16"/>
        <v/>
      </c>
      <c r="K228" s="37" t="str">
        <f>IF(A228="","",Inputs!$B$11-B228)</f>
        <v/>
      </c>
      <c r="L228" s="5" t="str">
        <f>IF(A228="","",IF(I228&lt;=0,"Sold out",IF(K228&gt;=Inputs!$B$18,"Dead",IF(K228&gt;=Inputs!$B$17,"Ageing",IF(K228&gt;=Inputs!$B$16,"Watch","Fresh")))))</f>
        <v/>
      </c>
      <c r="M228" s="5" t="str">
        <f t="shared" si="17"/>
        <v/>
      </c>
      <c r="N228" s="12" t="str">
        <f t="shared" si="18"/>
        <v/>
      </c>
      <c r="O228" s="36" t="str">
        <f t="shared" si="19"/>
        <v/>
      </c>
    </row>
    <row r="229" spans="1:15" x14ac:dyDescent="0.25">
      <c r="A229" s="34"/>
      <c r="B229" s="33"/>
      <c r="C229" s="34"/>
      <c r="D229" s="34"/>
      <c r="E229" s="34"/>
      <c r="F229" s="34"/>
      <c r="G229" s="35"/>
      <c r="H229" s="34"/>
      <c r="I229" s="5" t="str">
        <f t="shared" si="15"/>
        <v/>
      </c>
      <c r="J229" s="12" t="str">
        <f t="shared" si="16"/>
        <v/>
      </c>
      <c r="K229" s="37" t="str">
        <f>IF(A229="","",Inputs!$B$11-B229)</f>
        <v/>
      </c>
      <c r="L229" s="5" t="str">
        <f>IF(A229="","",IF(I229&lt;=0,"Sold out",IF(K229&gt;=Inputs!$B$18,"Dead",IF(K229&gt;=Inputs!$B$17,"Ageing",IF(K229&gt;=Inputs!$B$16,"Watch","Fresh")))))</f>
        <v/>
      </c>
      <c r="M229" s="5" t="str">
        <f t="shared" si="17"/>
        <v/>
      </c>
      <c r="N229" s="12" t="str">
        <f t="shared" si="18"/>
        <v/>
      </c>
      <c r="O229" s="36" t="str">
        <f t="shared" si="19"/>
        <v/>
      </c>
    </row>
    <row r="230" spans="1:15" x14ac:dyDescent="0.25">
      <c r="A230" s="34"/>
      <c r="B230" s="33"/>
      <c r="C230" s="34"/>
      <c r="D230" s="34"/>
      <c r="E230" s="34"/>
      <c r="F230" s="34"/>
      <c r="G230" s="35"/>
      <c r="H230" s="34"/>
      <c r="I230" s="5" t="str">
        <f t="shared" si="15"/>
        <v/>
      </c>
      <c r="J230" s="12" t="str">
        <f t="shared" si="16"/>
        <v/>
      </c>
      <c r="K230" s="37" t="str">
        <f>IF(A230="","",Inputs!$B$11-B230)</f>
        <v/>
      </c>
      <c r="L230" s="5" t="str">
        <f>IF(A230="","",IF(I230&lt;=0,"Sold out",IF(K230&gt;=Inputs!$B$18,"Dead",IF(K230&gt;=Inputs!$B$17,"Ageing",IF(K230&gt;=Inputs!$B$16,"Watch","Fresh")))))</f>
        <v/>
      </c>
      <c r="M230" s="5" t="str">
        <f t="shared" si="17"/>
        <v/>
      </c>
      <c r="N230" s="12" t="str">
        <f t="shared" si="18"/>
        <v/>
      </c>
      <c r="O230" s="36" t="str">
        <f t="shared" si="19"/>
        <v/>
      </c>
    </row>
    <row r="231" spans="1:15" x14ac:dyDescent="0.25">
      <c r="A231" s="34"/>
      <c r="B231" s="33"/>
      <c r="C231" s="34"/>
      <c r="D231" s="34"/>
      <c r="E231" s="34"/>
      <c r="F231" s="34"/>
      <c r="G231" s="35"/>
      <c r="H231" s="34"/>
      <c r="I231" s="5" t="str">
        <f t="shared" si="15"/>
        <v/>
      </c>
      <c r="J231" s="12" t="str">
        <f t="shared" si="16"/>
        <v/>
      </c>
      <c r="K231" s="37" t="str">
        <f>IF(A231="","",Inputs!$B$11-B231)</f>
        <v/>
      </c>
      <c r="L231" s="5" t="str">
        <f>IF(A231="","",IF(I231&lt;=0,"Sold out",IF(K231&gt;=Inputs!$B$18,"Dead",IF(K231&gt;=Inputs!$B$17,"Ageing",IF(K231&gt;=Inputs!$B$16,"Watch","Fresh")))))</f>
        <v/>
      </c>
      <c r="M231" s="5" t="str">
        <f t="shared" si="17"/>
        <v/>
      </c>
      <c r="N231" s="12" t="str">
        <f t="shared" si="18"/>
        <v/>
      </c>
      <c r="O231" s="36" t="str">
        <f t="shared" si="19"/>
        <v/>
      </c>
    </row>
    <row r="232" spans="1:15" x14ac:dyDescent="0.25">
      <c r="A232" s="34"/>
      <c r="B232" s="33"/>
      <c r="C232" s="34"/>
      <c r="D232" s="34"/>
      <c r="E232" s="34"/>
      <c r="F232" s="34"/>
      <c r="G232" s="35"/>
      <c r="H232" s="34"/>
      <c r="I232" s="5" t="str">
        <f t="shared" si="15"/>
        <v/>
      </c>
      <c r="J232" s="12" t="str">
        <f t="shared" si="16"/>
        <v/>
      </c>
      <c r="K232" s="37" t="str">
        <f>IF(A232="","",Inputs!$B$11-B232)</f>
        <v/>
      </c>
      <c r="L232" s="5" t="str">
        <f>IF(A232="","",IF(I232&lt;=0,"Sold out",IF(K232&gt;=Inputs!$B$18,"Dead",IF(K232&gt;=Inputs!$B$17,"Ageing",IF(K232&gt;=Inputs!$B$16,"Watch","Fresh")))))</f>
        <v/>
      </c>
      <c r="M232" s="5" t="str">
        <f t="shared" si="17"/>
        <v/>
      </c>
      <c r="N232" s="12" t="str">
        <f t="shared" si="18"/>
        <v/>
      </c>
      <c r="O232" s="36" t="str">
        <f t="shared" si="19"/>
        <v/>
      </c>
    </row>
    <row r="233" spans="1:15" x14ac:dyDescent="0.25">
      <c r="A233" s="34"/>
      <c r="B233" s="33"/>
      <c r="C233" s="34"/>
      <c r="D233" s="34"/>
      <c r="E233" s="34"/>
      <c r="F233" s="34"/>
      <c r="G233" s="35"/>
      <c r="H233" s="34"/>
      <c r="I233" s="5" t="str">
        <f t="shared" si="15"/>
        <v/>
      </c>
      <c r="J233" s="12" t="str">
        <f t="shared" si="16"/>
        <v/>
      </c>
      <c r="K233" s="37" t="str">
        <f>IF(A233="","",Inputs!$B$11-B233)</f>
        <v/>
      </c>
      <c r="L233" s="5" t="str">
        <f>IF(A233="","",IF(I233&lt;=0,"Sold out",IF(K233&gt;=Inputs!$B$18,"Dead",IF(K233&gt;=Inputs!$B$17,"Ageing",IF(K233&gt;=Inputs!$B$16,"Watch","Fresh")))))</f>
        <v/>
      </c>
      <c r="M233" s="5" t="str">
        <f t="shared" si="17"/>
        <v/>
      </c>
      <c r="N233" s="12" t="str">
        <f t="shared" si="18"/>
        <v/>
      </c>
      <c r="O233" s="36" t="str">
        <f t="shared" si="19"/>
        <v/>
      </c>
    </row>
    <row r="234" spans="1:15" x14ac:dyDescent="0.25">
      <c r="A234" s="34"/>
      <c r="B234" s="33"/>
      <c r="C234" s="34"/>
      <c r="D234" s="34"/>
      <c r="E234" s="34"/>
      <c r="F234" s="34"/>
      <c r="G234" s="35"/>
      <c r="H234" s="34"/>
      <c r="I234" s="5" t="str">
        <f t="shared" si="15"/>
        <v/>
      </c>
      <c r="J234" s="12" t="str">
        <f t="shared" si="16"/>
        <v/>
      </c>
      <c r="K234" s="37" t="str">
        <f>IF(A234="","",Inputs!$B$11-B234)</f>
        <v/>
      </c>
      <c r="L234" s="5" t="str">
        <f>IF(A234="","",IF(I234&lt;=0,"Sold out",IF(K234&gt;=Inputs!$B$18,"Dead",IF(K234&gt;=Inputs!$B$17,"Ageing",IF(K234&gt;=Inputs!$B$16,"Watch","Fresh")))))</f>
        <v/>
      </c>
      <c r="M234" s="5" t="str">
        <f t="shared" si="17"/>
        <v/>
      </c>
      <c r="N234" s="12" t="str">
        <f t="shared" si="18"/>
        <v/>
      </c>
      <c r="O234" s="36" t="str">
        <f t="shared" si="19"/>
        <v/>
      </c>
    </row>
    <row r="235" spans="1:15" x14ac:dyDescent="0.25">
      <c r="A235" s="34"/>
      <c r="B235" s="33"/>
      <c r="C235" s="34"/>
      <c r="D235" s="34"/>
      <c r="E235" s="34"/>
      <c r="F235" s="34"/>
      <c r="G235" s="35"/>
      <c r="H235" s="34"/>
      <c r="I235" s="5" t="str">
        <f t="shared" si="15"/>
        <v/>
      </c>
      <c r="J235" s="12" t="str">
        <f t="shared" si="16"/>
        <v/>
      </c>
      <c r="K235" s="37" t="str">
        <f>IF(A235="","",Inputs!$B$11-B235)</f>
        <v/>
      </c>
      <c r="L235" s="5" t="str">
        <f>IF(A235="","",IF(I235&lt;=0,"Sold out",IF(K235&gt;=Inputs!$B$18,"Dead",IF(K235&gt;=Inputs!$B$17,"Ageing",IF(K235&gt;=Inputs!$B$16,"Watch","Fresh")))))</f>
        <v/>
      </c>
      <c r="M235" s="5" t="str">
        <f t="shared" si="17"/>
        <v/>
      </c>
      <c r="N235" s="12" t="str">
        <f t="shared" si="18"/>
        <v/>
      </c>
      <c r="O235" s="36" t="str">
        <f t="shared" si="19"/>
        <v/>
      </c>
    </row>
    <row r="236" spans="1:15" x14ac:dyDescent="0.25">
      <c r="A236" s="34"/>
      <c r="B236" s="33"/>
      <c r="C236" s="34"/>
      <c r="D236" s="34"/>
      <c r="E236" s="34"/>
      <c r="F236" s="34"/>
      <c r="G236" s="35"/>
      <c r="H236" s="34"/>
      <c r="I236" s="5" t="str">
        <f t="shared" si="15"/>
        <v/>
      </c>
      <c r="J236" s="12" t="str">
        <f t="shared" si="16"/>
        <v/>
      </c>
      <c r="K236" s="37" t="str">
        <f>IF(A236="","",Inputs!$B$11-B236)</f>
        <v/>
      </c>
      <c r="L236" s="5" t="str">
        <f>IF(A236="","",IF(I236&lt;=0,"Sold out",IF(K236&gt;=Inputs!$B$18,"Dead",IF(K236&gt;=Inputs!$B$17,"Ageing",IF(K236&gt;=Inputs!$B$16,"Watch","Fresh")))))</f>
        <v/>
      </c>
      <c r="M236" s="5" t="str">
        <f t="shared" si="17"/>
        <v/>
      </c>
      <c r="N236" s="12" t="str">
        <f t="shared" si="18"/>
        <v/>
      </c>
      <c r="O236" s="36" t="str">
        <f t="shared" si="19"/>
        <v/>
      </c>
    </row>
    <row r="237" spans="1:15" x14ac:dyDescent="0.25">
      <c r="A237" s="34"/>
      <c r="B237" s="33"/>
      <c r="C237" s="34"/>
      <c r="D237" s="34"/>
      <c r="E237" s="34"/>
      <c r="F237" s="34"/>
      <c r="G237" s="35"/>
      <c r="H237" s="34"/>
      <c r="I237" s="5" t="str">
        <f t="shared" si="15"/>
        <v/>
      </c>
      <c r="J237" s="12" t="str">
        <f t="shared" si="16"/>
        <v/>
      </c>
      <c r="K237" s="37" t="str">
        <f>IF(A237="","",Inputs!$B$11-B237)</f>
        <v/>
      </c>
      <c r="L237" s="5" t="str">
        <f>IF(A237="","",IF(I237&lt;=0,"Sold out",IF(K237&gt;=Inputs!$B$18,"Dead",IF(K237&gt;=Inputs!$B$17,"Ageing",IF(K237&gt;=Inputs!$B$16,"Watch","Fresh")))))</f>
        <v/>
      </c>
      <c r="M237" s="5" t="str">
        <f t="shared" si="17"/>
        <v/>
      </c>
      <c r="N237" s="12" t="str">
        <f t="shared" si="18"/>
        <v/>
      </c>
      <c r="O237" s="36" t="str">
        <f t="shared" si="19"/>
        <v/>
      </c>
    </row>
    <row r="238" spans="1:15" x14ac:dyDescent="0.25">
      <c r="A238" s="34"/>
      <c r="B238" s="33"/>
      <c r="C238" s="34"/>
      <c r="D238" s="34"/>
      <c r="E238" s="34"/>
      <c r="F238" s="34"/>
      <c r="G238" s="35"/>
      <c r="H238" s="34"/>
      <c r="I238" s="5" t="str">
        <f t="shared" si="15"/>
        <v/>
      </c>
      <c r="J238" s="12" t="str">
        <f t="shared" si="16"/>
        <v/>
      </c>
      <c r="K238" s="37" t="str">
        <f>IF(A238="","",Inputs!$B$11-B238)</f>
        <v/>
      </c>
      <c r="L238" s="5" t="str">
        <f>IF(A238="","",IF(I238&lt;=0,"Sold out",IF(K238&gt;=Inputs!$B$18,"Dead",IF(K238&gt;=Inputs!$B$17,"Ageing",IF(K238&gt;=Inputs!$B$16,"Watch","Fresh")))))</f>
        <v/>
      </c>
      <c r="M238" s="5" t="str">
        <f t="shared" si="17"/>
        <v/>
      </c>
      <c r="N238" s="12" t="str">
        <f t="shared" si="18"/>
        <v/>
      </c>
      <c r="O238" s="36" t="str">
        <f t="shared" si="19"/>
        <v/>
      </c>
    </row>
    <row r="239" spans="1:15" x14ac:dyDescent="0.25">
      <c r="A239" s="34"/>
      <c r="B239" s="33"/>
      <c r="C239" s="34"/>
      <c r="D239" s="34"/>
      <c r="E239" s="34"/>
      <c r="F239" s="34"/>
      <c r="G239" s="35"/>
      <c r="H239" s="34"/>
      <c r="I239" s="5" t="str">
        <f t="shared" si="15"/>
        <v/>
      </c>
      <c r="J239" s="12" t="str">
        <f t="shared" si="16"/>
        <v/>
      </c>
      <c r="K239" s="37" t="str">
        <f>IF(A239="","",Inputs!$B$11-B239)</f>
        <v/>
      </c>
      <c r="L239" s="5" t="str">
        <f>IF(A239="","",IF(I239&lt;=0,"Sold out",IF(K239&gt;=Inputs!$B$18,"Dead",IF(K239&gt;=Inputs!$B$17,"Ageing",IF(K239&gt;=Inputs!$B$16,"Watch","Fresh")))))</f>
        <v/>
      </c>
      <c r="M239" s="5" t="str">
        <f t="shared" si="17"/>
        <v/>
      </c>
      <c r="N239" s="12" t="str">
        <f t="shared" si="18"/>
        <v/>
      </c>
      <c r="O239" s="36" t="str">
        <f t="shared" si="19"/>
        <v/>
      </c>
    </row>
    <row r="240" spans="1:15" x14ac:dyDescent="0.25">
      <c r="A240" s="34"/>
      <c r="B240" s="33"/>
      <c r="C240" s="34"/>
      <c r="D240" s="34"/>
      <c r="E240" s="34"/>
      <c r="F240" s="34"/>
      <c r="G240" s="35"/>
      <c r="H240" s="34"/>
      <c r="I240" s="5" t="str">
        <f t="shared" si="15"/>
        <v/>
      </c>
      <c r="J240" s="12" t="str">
        <f t="shared" si="16"/>
        <v/>
      </c>
      <c r="K240" s="37" t="str">
        <f>IF(A240="","",Inputs!$B$11-B240)</f>
        <v/>
      </c>
      <c r="L240" s="5" t="str">
        <f>IF(A240="","",IF(I240&lt;=0,"Sold out",IF(K240&gt;=Inputs!$B$18,"Dead",IF(K240&gt;=Inputs!$B$17,"Ageing",IF(K240&gt;=Inputs!$B$16,"Watch","Fresh")))))</f>
        <v/>
      </c>
      <c r="M240" s="5" t="str">
        <f t="shared" si="17"/>
        <v/>
      </c>
      <c r="N240" s="12" t="str">
        <f t="shared" si="18"/>
        <v/>
      </c>
      <c r="O240" s="36" t="str">
        <f t="shared" si="19"/>
        <v/>
      </c>
    </row>
    <row r="241" spans="1:15" x14ac:dyDescent="0.25">
      <c r="A241" s="34"/>
      <c r="B241" s="33"/>
      <c r="C241" s="34"/>
      <c r="D241" s="34"/>
      <c r="E241" s="34"/>
      <c r="F241" s="34"/>
      <c r="G241" s="35"/>
      <c r="H241" s="34"/>
      <c r="I241" s="5" t="str">
        <f t="shared" si="15"/>
        <v/>
      </c>
      <c r="J241" s="12" t="str">
        <f t="shared" si="16"/>
        <v/>
      </c>
      <c r="K241" s="37" t="str">
        <f>IF(A241="","",Inputs!$B$11-B241)</f>
        <v/>
      </c>
      <c r="L241" s="5" t="str">
        <f>IF(A241="","",IF(I241&lt;=0,"Sold out",IF(K241&gt;=Inputs!$B$18,"Dead",IF(K241&gt;=Inputs!$B$17,"Ageing",IF(K241&gt;=Inputs!$B$16,"Watch","Fresh")))))</f>
        <v/>
      </c>
      <c r="M241" s="5" t="str">
        <f t="shared" si="17"/>
        <v/>
      </c>
      <c r="N241" s="12" t="str">
        <f t="shared" si="18"/>
        <v/>
      </c>
      <c r="O241" s="36" t="str">
        <f t="shared" si="19"/>
        <v/>
      </c>
    </row>
    <row r="242" spans="1:15" x14ac:dyDescent="0.25">
      <c r="A242" s="34"/>
      <c r="B242" s="33"/>
      <c r="C242" s="34"/>
      <c r="D242" s="34"/>
      <c r="E242" s="34"/>
      <c r="F242" s="34"/>
      <c r="G242" s="35"/>
      <c r="H242" s="34"/>
      <c r="I242" s="5" t="str">
        <f t="shared" si="15"/>
        <v/>
      </c>
      <c r="J242" s="12" t="str">
        <f t="shared" si="16"/>
        <v/>
      </c>
      <c r="K242" s="37" t="str">
        <f>IF(A242="","",Inputs!$B$11-B242)</f>
        <v/>
      </c>
      <c r="L242" s="5" t="str">
        <f>IF(A242="","",IF(I242&lt;=0,"Sold out",IF(K242&gt;=Inputs!$B$18,"Dead",IF(K242&gt;=Inputs!$B$17,"Ageing",IF(K242&gt;=Inputs!$B$16,"Watch","Fresh")))))</f>
        <v/>
      </c>
      <c r="M242" s="5" t="str">
        <f t="shared" si="17"/>
        <v/>
      </c>
      <c r="N242" s="12" t="str">
        <f t="shared" si="18"/>
        <v/>
      </c>
      <c r="O242" s="36" t="str">
        <f t="shared" si="19"/>
        <v/>
      </c>
    </row>
    <row r="243" spans="1:15" x14ac:dyDescent="0.25">
      <c r="A243" s="34"/>
      <c r="B243" s="33"/>
      <c r="C243" s="34"/>
      <c r="D243" s="34"/>
      <c r="E243" s="34"/>
      <c r="F243" s="34"/>
      <c r="G243" s="35"/>
      <c r="H243" s="34"/>
      <c r="I243" s="5" t="str">
        <f t="shared" si="15"/>
        <v/>
      </c>
      <c r="J243" s="12" t="str">
        <f t="shared" si="16"/>
        <v/>
      </c>
      <c r="K243" s="37" t="str">
        <f>IF(A243="","",Inputs!$B$11-B243)</f>
        <v/>
      </c>
      <c r="L243" s="5" t="str">
        <f>IF(A243="","",IF(I243&lt;=0,"Sold out",IF(K243&gt;=Inputs!$B$18,"Dead",IF(K243&gt;=Inputs!$B$17,"Ageing",IF(K243&gt;=Inputs!$B$16,"Watch","Fresh")))))</f>
        <v/>
      </c>
      <c r="M243" s="5" t="str">
        <f t="shared" si="17"/>
        <v/>
      </c>
      <c r="N243" s="12" t="str">
        <f t="shared" si="18"/>
        <v/>
      </c>
      <c r="O243" s="36" t="str">
        <f t="shared" si="19"/>
        <v/>
      </c>
    </row>
    <row r="244" spans="1:15" x14ac:dyDescent="0.25">
      <c r="A244" s="34"/>
      <c r="B244" s="33"/>
      <c r="C244" s="34"/>
      <c r="D244" s="34"/>
      <c r="E244" s="34"/>
      <c r="F244" s="34"/>
      <c r="G244" s="35"/>
      <c r="H244" s="34"/>
      <c r="I244" s="5" t="str">
        <f t="shared" si="15"/>
        <v/>
      </c>
      <c r="J244" s="12" t="str">
        <f t="shared" si="16"/>
        <v/>
      </c>
      <c r="K244" s="37" t="str">
        <f>IF(A244="","",Inputs!$B$11-B244)</f>
        <v/>
      </c>
      <c r="L244" s="5" t="str">
        <f>IF(A244="","",IF(I244&lt;=0,"Sold out",IF(K244&gt;=Inputs!$B$18,"Dead",IF(K244&gt;=Inputs!$B$17,"Ageing",IF(K244&gt;=Inputs!$B$16,"Watch","Fresh")))))</f>
        <v/>
      </c>
      <c r="M244" s="5" t="str">
        <f t="shared" si="17"/>
        <v/>
      </c>
      <c r="N244" s="12" t="str">
        <f t="shared" si="18"/>
        <v/>
      </c>
      <c r="O244" s="36" t="str">
        <f t="shared" si="19"/>
        <v/>
      </c>
    </row>
    <row r="245" spans="1:15" x14ac:dyDescent="0.25">
      <c r="A245" s="34"/>
      <c r="B245" s="33"/>
      <c r="C245" s="34"/>
      <c r="D245" s="34"/>
      <c r="E245" s="34"/>
      <c r="F245" s="34"/>
      <c r="G245" s="35"/>
      <c r="H245" s="34"/>
      <c r="I245" s="5" t="str">
        <f t="shared" si="15"/>
        <v/>
      </c>
      <c r="J245" s="12" t="str">
        <f t="shared" si="16"/>
        <v/>
      </c>
      <c r="K245" s="37" t="str">
        <f>IF(A245="","",Inputs!$B$11-B245)</f>
        <v/>
      </c>
      <c r="L245" s="5" t="str">
        <f>IF(A245="","",IF(I245&lt;=0,"Sold out",IF(K245&gt;=Inputs!$B$18,"Dead",IF(K245&gt;=Inputs!$B$17,"Ageing",IF(K245&gt;=Inputs!$B$16,"Watch","Fresh")))))</f>
        <v/>
      </c>
      <c r="M245" s="5" t="str">
        <f t="shared" si="17"/>
        <v/>
      </c>
      <c r="N245" s="12" t="str">
        <f t="shared" si="18"/>
        <v/>
      </c>
      <c r="O245" s="36" t="str">
        <f t="shared" si="19"/>
        <v/>
      </c>
    </row>
    <row r="246" spans="1:15" x14ac:dyDescent="0.25">
      <c r="A246" s="34"/>
      <c r="B246" s="33"/>
      <c r="C246" s="34"/>
      <c r="D246" s="34"/>
      <c r="E246" s="34"/>
      <c r="F246" s="34"/>
      <c r="G246" s="35"/>
      <c r="H246" s="34"/>
      <c r="I246" s="5" t="str">
        <f t="shared" si="15"/>
        <v/>
      </c>
      <c r="J246" s="12" t="str">
        <f t="shared" si="16"/>
        <v/>
      </c>
      <c r="K246" s="37" t="str">
        <f>IF(A246="","",Inputs!$B$11-B246)</f>
        <v/>
      </c>
      <c r="L246" s="5" t="str">
        <f>IF(A246="","",IF(I246&lt;=0,"Sold out",IF(K246&gt;=Inputs!$B$18,"Dead",IF(K246&gt;=Inputs!$B$17,"Ageing",IF(K246&gt;=Inputs!$B$16,"Watch","Fresh")))))</f>
        <v/>
      </c>
      <c r="M246" s="5" t="str">
        <f t="shared" si="17"/>
        <v/>
      </c>
      <c r="N246" s="12" t="str">
        <f t="shared" si="18"/>
        <v/>
      </c>
      <c r="O246" s="36" t="str">
        <f t="shared" si="19"/>
        <v/>
      </c>
    </row>
    <row r="247" spans="1:15" x14ac:dyDescent="0.25">
      <c r="A247" s="34"/>
      <c r="B247" s="33"/>
      <c r="C247" s="34"/>
      <c r="D247" s="34"/>
      <c r="E247" s="34"/>
      <c r="F247" s="34"/>
      <c r="G247" s="35"/>
      <c r="H247" s="34"/>
      <c r="I247" s="5" t="str">
        <f t="shared" si="15"/>
        <v/>
      </c>
      <c r="J247" s="12" t="str">
        <f t="shared" si="16"/>
        <v/>
      </c>
      <c r="K247" s="37" t="str">
        <f>IF(A247="","",Inputs!$B$11-B247)</f>
        <v/>
      </c>
      <c r="L247" s="5" t="str">
        <f>IF(A247="","",IF(I247&lt;=0,"Sold out",IF(K247&gt;=Inputs!$B$18,"Dead",IF(K247&gt;=Inputs!$B$17,"Ageing",IF(K247&gt;=Inputs!$B$16,"Watch","Fresh")))))</f>
        <v/>
      </c>
      <c r="M247" s="5" t="str">
        <f t="shared" si="17"/>
        <v/>
      </c>
      <c r="N247" s="12" t="str">
        <f t="shared" si="18"/>
        <v/>
      </c>
      <c r="O247" s="36" t="str">
        <f t="shared" si="19"/>
        <v/>
      </c>
    </row>
    <row r="248" spans="1:15" x14ac:dyDescent="0.25">
      <c r="A248" s="34"/>
      <c r="B248" s="33"/>
      <c r="C248" s="34"/>
      <c r="D248" s="34"/>
      <c r="E248" s="34"/>
      <c r="F248" s="34"/>
      <c r="G248" s="35"/>
      <c r="H248" s="34"/>
      <c r="I248" s="5" t="str">
        <f t="shared" si="15"/>
        <v/>
      </c>
      <c r="J248" s="12" t="str">
        <f t="shared" si="16"/>
        <v/>
      </c>
      <c r="K248" s="37" t="str">
        <f>IF(A248="","",Inputs!$B$11-B248)</f>
        <v/>
      </c>
      <c r="L248" s="5" t="str">
        <f>IF(A248="","",IF(I248&lt;=0,"Sold out",IF(K248&gt;=Inputs!$B$18,"Dead",IF(K248&gt;=Inputs!$B$17,"Ageing",IF(K248&gt;=Inputs!$B$16,"Watch","Fresh")))))</f>
        <v/>
      </c>
      <c r="M248" s="5" t="str">
        <f t="shared" si="17"/>
        <v/>
      </c>
      <c r="N248" s="12" t="str">
        <f t="shared" si="18"/>
        <v/>
      </c>
      <c r="O248" s="36" t="str">
        <f t="shared" si="19"/>
        <v/>
      </c>
    </row>
    <row r="249" spans="1:15" x14ac:dyDescent="0.25">
      <c r="A249" s="34"/>
      <c r="B249" s="33"/>
      <c r="C249" s="34"/>
      <c r="D249" s="34"/>
      <c r="E249" s="34"/>
      <c r="F249" s="34"/>
      <c r="G249" s="35"/>
      <c r="H249" s="34"/>
      <c r="I249" s="5" t="str">
        <f t="shared" si="15"/>
        <v/>
      </c>
      <c r="J249" s="12" t="str">
        <f t="shared" si="16"/>
        <v/>
      </c>
      <c r="K249" s="37" t="str">
        <f>IF(A249="","",Inputs!$B$11-B249)</f>
        <v/>
      </c>
      <c r="L249" s="5" t="str">
        <f>IF(A249="","",IF(I249&lt;=0,"Sold out",IF(K249&gt;=Inputs!$B$18,"Dead",IF(K249&gt;=Inputs!$B$17,"Ageing",IF(K249&gt;=Inputs!$B$16,"Watch","Fresh")))))</f>
        <v/>
      </c>
      <c r="M249" s="5" t="str">
        <f t="shared" si="17"/>
        <v/>
      </c>
      <c r="N249" s="12" t="str">
        <f t="shared" si="18"/>
        <v/>
      </c>
      <c r="O249" s="36" t="str">
        <f t="shared" si="19"/>
        <v/>
      </c>
    </row>
    <row r="250" spans="1:15" x14ac:dyDescent="0.25">
      <c r="A250" s="34"/>
      <c r="B250" s="33"/>
      <c r="C250" s="34"/>
      <c r="D250" s="34"/>
      <c r="E250" s="34"/>
      <c r="F250" s="34"/>
      <c r="G250" s="35"/>
      <c r="H250" s="34"/>
      <c r="I250" s="5" t="str">
        <f t="shared" si="15"/>
        <v/>
      </c>
      <c r="J250" s="12" t="str">
        <f t="shared" si="16"/>
        <v/>
      </c>
      <c r="K250" s="37" t="str">
        <f>IF(A250="","",Inputs!$B$11-B250)</f>
        <v/>
      </c>
      <c r="L250" s="5" t="str">
        <f>IF(A250="","",IF(I250&lt;=0,"Sold out",IF(K250&gt;=Inputs!$B$18,"Dead",IF(K250&gt;=Inputs!$B$17,"Ageing",IF(K250&gt;=Inputs!$B$16,"Watch","Fresh")))))</f>
        <v/>
      </c>
      <c r="M250" s="5" t="str">
        <f t="shared" si="17"/>
        <v/>
      </c>
      <c r="N250" s="12" t="str">
        <f t="shared" si="18"/>
        <v/>
      </c>
      <c r="O250" s="36" t="str">
        <f t="shared" si="19"/>
        <v/>
      </c>
    </row>
    <row r="251" spans="1:15" x14ac:dyDescent="0.25">
      <c r="A251" s="34"/>
      <c r="B251" s="33"/>
      <c r="C251" s="34"/>
      <c r="D251" s="34"/>
      <c r="E251" s="34"/>
      <c r="F251" s="34"/>
      <c r="G251" s="35"/>
      <c r="H251" s="34"/>
      <c r="I251" s="5" t="str">
        <f t="shared" si="15"/>
        <v/>
      </c>
      <c r="J251" s="12" t="str">
        <f t="shared" si="16"/>
        <v/>
      </c>
      <c r="K251" s="37" t="str">
        <f>IF(A251="","",Inputs!$B$11-B251)</f>
        <v/>
      </c>
      <c r="L251" s="5" t="str">
        <f>IF(A251="","",IF(I251&lt;=0,"Sold out",IF(K251&gt;=Inputs!$B$18,"Dead",IF(K251&gt;=Inputs!$B$17,"Ageing",IF(K251&gt;=Inputs!$B$16,"Watch","Fresh")))))</f>
        <v/>
      </c>
      <c r="M251" s="5" t="str">
        <f t="shared" si="17"/>
        <v/>
      </c>
      <c r="N251" s="12" t="str">
        <f t="shared" si="18"/>
        <v/>
      </c>
      <c r="O251" s="36" t="str">
        <f t="shared" si="19"/>
        <v/>
      </c>
    </row>
    <row r="252" spans="1:15" x14ac:dyDescent="0.25">
      <c r="A252" s="34"/>
      <c r="B252" s="33"/>
      <c r="C252" s="34"/>
      <c r="D252" s="34"/>
      <c r="E252" s="34"/>
      <c r="F252" s="34"/>
      <c r="G252" s="35"/>
      <c r="H252" s="34"/>
      <c r="I252" s="5" t="str">
        <f t="shared" si="15"/>
        <v/>
      </c>
      <c r="J252" s="12" t="str">
        <f t="shared" si="16"/>
        <v/>
      </c>
      <c r="K252" s="37" t="str">
        <f>IF(A252="","",Inputs!$B$11-B252)</f>
        <v/>
      </c>
      <c r="L252" s="5" t="str">
        <f>IF(A252="","",IF(I252&lt;=0,"Sold out",IF(K252&gt;=Inputs!$B$18,"Dead",IF(K252&gt;=Inputs!$B$17,"Ageing",IF(K252&gt;=Inputs!$B$16,"Watch","Fresh")))))</f>
        <v/>
      </c>
      <c r="M252" s="5" t="str">
        <f t="shared" si="17"/>
        <v/>
      </c>
      <c r="N252" s="12" t="str">
        <f t="shared" si="18"/>
        <v/>
      </c>
      <c r="O252" s="36" t="str">
        <f t="shared" si="19"/>
        <v/>
      </c>
    </row>
    <row r="253" spans="1:15" x14ac:dyDescent="0.25">
      <c r="A253" s="34"/>
      <c r="B253" s="33"/>
      <c r="C253" s="34"/>
      <c r="D253" s="34"/>
      <c r="E253" s="34"/>
      <c r="F253" s="34"/>
      <c r="G253" s="35"/>
      <c r="H253" s="34"/>
      <c r="I253" s="5" t="str">
        <f t="shared" si="15"/>
        <v/>
      </c>
      <c r="J253" s="12" t="str">
        <f t="shared" si="16"/>
        <v/>
      </c>
      <c r="K253" s="37" t="str">
        <f>IF(A253="","",Inputs!$B$11-B253)</f>
        <v/>
      </c>
      <c r="L253" s="5" t="str">
        <f>IF(A253="","",IF(I253&lt;=0,"Sold out",IF(K253&gt;=Inputs!$B$18,"Dead",IF(K253&gt;=Inputs!$B$17,"Ageing",IF(K253&gt;=Inputs!$B$16,"Watch","Fresh")))))</f>
        <v/>
      </c>
      <c r="M253" s="5" t="str">
        <f t="shared" si="17"/>
        <v/>
      </c>
      <c r="N253" s="12" t="str">
        <f t="shared" si="18"/>
        <v/>
      </c>
      <c r="O253" s="36" t="str">
        <f t="shared" si="19"/>
        <v/>
      </c>
    </row>
    <row r="254" spans="1:15" x14ac:dyDescent="0.25">
      <c r="A254" s="34"/>
      <c r="B254" s="33"/>
      <c r="C254" s="34"/>
      <c r="D254" s="34"/>
      <c r="E254" s="34"/>
      <c r="F254" s="34"/>
      <c r="G254" s="35"/>
      <c r="H254" s="34"/>
      <c r="I254" s="5" t="str">
        <f t="shared" si="15"/>
        <v/>
      </c>
      <c r="J254" s="12" t="str">
        <f t="shared" si="16"/>
        <v/>
      </c>
      <c r="K254" s="37" t="str">
        <f>IF(A254="","",Inputs!$B$11-B254)</f>
        <v/>
      </c>
      <c r="L254" s="5" t="str">
        <f>IF(A254="","",IF(I254&lt;=0,"Sold out",IF(K254&gt;=Inputs!$B$18,"Dead",IF(K254&gt;=Inputs!$B$17,"Ageing",IF(K254&gt;=Inputs!$B$16,"Watch","Fresh")))))</f>
        <v/>
      </c>
      <c r="M254" s="5" t="str">
        <f t="shared" si="17"/>
        <v/>
      </c>
      <c r="N254" s="12" t="str">
        <f t="shared" si="18"/>
        <v/>
      </c>
      <c r="O254" s="36" t="str">
        <f t="shared" si="19"/>
        <v/>
      </c>
    </row>
    <row r="255" spans="1:15" x14ac:dyDescent="0.25">
      <c r="A255" s="34"/>
      <c r="B255" s="33"/>
      <c r="C255" s="34"/>
      <c r="D255" s="34"/>
      <c r="E255" s="34"/>
      <c r="F255" s="34"/>
      <c r="G255" s="35"/>
      <c r="H255" s="34"/>
      <c r="I255" s="5" t="str">
        <f t="shared" si="15"/>
        <v/>
      </c>
      <c r="J255" s="12" t="str">
        <f t="shared" si="16"/>
        <v/>
      </c>
      <c r="K255" s="37" t="str">
        <f>IF(A255="","",Inputs!$B$11-B255)</f>
        <v/>
      </c>
      <c r="L255" s="5" t="str">
        <f>IF(A255="","",IF(I255&lt;=0,"Sold out",IF(K255&gt;=Inputs!$B$18,"Dead",IF(K255&gt;=Inputs!$B$17,"Ageing",IF(K255&gt;=Inputs!$B$16,"Watch","Fresh")))))</f>
        <v/>
      </c>
      <c r="M255" s="5" t="str">
        <f t="shared" si="17"/>
        <v/>
      </c>
      <c r="N255" s="12" t="str">
        <f t="shared" si="18"/>
        <v/>
      </c>
      <c r="O255" s="36" t="str">
        <f t="shared" si="19"/>
        <v/>
      </c>
    </row>
    <row r="256" spans="1:15" x14ac:dyDescent="0.25">
      <c r="A256" s="34"/>
      <c r="B256" s="33"/>
      <c r="C256" s="34"/>
      <c r="D256" s="34"/>
      <c r="E256" s="34"/>
      <c r="F256" s="34"/>
      <c r="G256" s="35"/>
      <c r="H256" s="34"/>
      <c r="I256" s="5" t="str">
        <f t="shared" si="15"/>
        <v/>
      </c>
      <c r="J256" s="12" t="str">
        <f t="shared" si="16"/>
        <v/>
      </c>
      <c r="K256" s="37" t="str">
        <f>IF(A256="","",Inputs!$B$11-B256)</f>
        <v/>
      </c>
      <c r="L256" s="5" t="str">
        <f>IF(A256="","",IF(I256&lt;=0,"Sold out",IF(K256&gt;=Inputs!$B$18,"Dead",IF(K256&gt;=Inputs!$B$17,"Ageing",IF(K256&gt;=Inputs!$B$16,"Watch","Fresh")))))</f>
        <v/>
      </c>
      <c r="M256" s="5" t="str">
        <f t="shared" si="17"/>
        <v/>
      </c>
      <c r="N256" s="12" t="str">
        <f t="shared" si="18"/>
        <v/>
      </c>
      <c r="O256" s="36" t="str">
        <f t="shared" si="19"/>
        <v/>
      </c>
    </row>
    <row r="257" spans="1:15" x14ac:dyDescent="0.25">
      <c r="A257" s="34"/>
      <c r="B257" s="33"/>
      <c r="C257" s="34"/>
      <c r="D257" s="34"/>
      <c r="E257" s="34"/>
      <c r="F257" s="34"/>
      <c r="G257" s="35"/>
      <c r="H257" s="34"/>
      <c r="I257" s="5" t="str">
        <f t="shared" si="15"/>
        <v/>
      </c>
      <c r="J257" s="12" t="str">
        <f t="shared" si="16"/>
        <v/>
      </c>
      <c r="K257" s="37" t="str">
        <f>IF(A257="","",Inputs!$B$11-B257)</f>
        <v/>
      </c>
      <c r="L257" s="5" t="str">
        <f>IF(A257="","",IF(I257&lt;=0,"Sold out",IF(K257&gt;=Inputs!$B$18,"Dead",IF(K257&gt;=Inputs!$B$17,"Ageing",IF(K257&gt;=Inputs!$B$16,"Watch","Fresh")))))</f>
        <v/>
      </c>
      <c r="M257" s="5" t="str">
        <f t="shared" si="17"/>
        <v/>
      </c>
      <c r="N257" s="12" t="str">
        <f t="shared" si="18"/>
        <v/>
      </c>
      <c r="O257" s="36" t="str">
        <f t="shared" si="19"/>
        <v/>
      </c>
    </row>
    <row r="258" spans="1:15" x14ac:dyDescent="0.25">
      <c r="A258" s="34"/>
      <c r="B258" s="33"/>
      <c r="C258" s="34"/>
      <c r="D258" s="34"/>
      <c r="E258" s="34"/>
      <c r="F258" s="34"/>
      <c r="G258" s="35"/>
      <c r="H258" s="34"/>
      <c r="I258" s="5" t="str">
        <f t="shared" si="15"/>
        <v/>
      </c>
      <c r="J258" s="12" t="str">
        <f t="shared" si="16"/>
        <v/>
      </c>
      <c r="K258" s="37" t="str">
        <f>IF(A258="","",Inputs!$B$11-B258)</f>
        <v/>
      </c>
      <c r="L258" s="5" t="str">
        <f>IF(A258="","",IF(I258&lt;=0,"Sold out",IF(K258&gt;=Inputs!$B$18,"Dead",IF(K258&gt;=Inputs!$B$17,"Ageing",IF(K258&gt;=Inputs!$B$16,"Watch","Fresh")))))</f>
        <v/>
      </c>
      <c r="M258" s="5" t="str">
        <f t="shared" si="17"/>
        <v/>
      </c>
      <c r="N258" s="12" t="str">
        <f t="shared" si="18"/>
        <v/>
      </c>
      <c r="O258" s="36" t="str">
        <f t="shared" si="19"/>
        <v/>
      </c>
    </row>
    <row r="259" spans="1:15" x14ac:dyDescent="0.25">
      <c r="A259" s="34"/>
      <c r="B259" s="33"/>
      <c r="C259" s="34"/>
      <c r="D259" s="34"/>
      <c r="E259" s="34"/>
      <c r="F259" s="34"/>
      <c r="G259" s="35"/>
      <c r="H259" s="34"/>
      <c r="I259" s="5" t="str">
        <f t="shared" si="15"/>
        <v/>
      </c>
      <c r="J259" s="12" t="str">
        <f t="shared" si="16"/>
        <v/>
      </c>
      <c r="K259" s="37" t="str">
        <f>IF(A259="","",Inputs!$B$11-B259)</f>
        <v/>
      </c>
      <c r="L259" s="5" t="str">
        <f>IF(A259="","",IF(I259&lt;=0,"Sold out",IF(K259&gt;=Inputs!$B$18,"Dead",IF(K259&gt;=Inputs!$B$17,"Ageing",IF(K259&gt;=Inputs!$B$16,"Watch","Fresh")))))</f>
        <v/>
      </c>
      <c r="M259" s="5" t="str">
        <f t="shared" si="17"/>
        <v/>
      </c>
      <c r="N259" s="12" t="str">
        <f t="shared" si="18"/>
        <v/>
      </c>
      <c r="O259" s="36" t="str">
        <f t="shared" si="19"/>
        <v/>
      </c>
    </row>
    <row r="260" spans="1:15" x14ac:dyDescent="0.25">
      <c r="A260" s="34"/>
      <c r="B260" s="33"/>
      <c r="C260" s="34"/>
      <c r="D260" s="34"/>
      <c r="E260" s="34"/>
      <c r="F260" s="34"/>
      <c r="G260" s="35"/>
      <c r="H260" s="34"/>
      <c r="I260" s="5" t="str">
        <f t="shared" si="15"/>
        <v/>
      </c>
      <c r="J260" s="12" t="str">
        <f t="shared" si="16"/>
        <v/>
      </c>
      <c r="K260" s="37" t="str">
        <f>IF(A260="","",Inputs!$B$11-B260)</f>
        <v/>
      </c>
      <c r="L260" s="5" t="str">
        <f>IF(A260="","",IF(I260&lt;=0,"Sold out",IF(K260&gt;=Inputs!$B$18,"Dead",IF(K260&gt;=Inputs!$B$17,"Ageing",IF(K260&gt;=Inputs!$B$16,"Watch","Fresh")))))</f>
        <v/>
      </c>
      <c r="M260" s="5" t="str">
        <f t="shared" si="17"/>
        <v/>
      </c>
      <c r="N260" s="12" t="str">
        <f t="shared" si="18"/>
        <v/>
      </c>
      <c r="O260" s="36" t="str">
        <f t="shared" si="19"/>
        <v/>
      </c>
    </row>
    <row r="261" spans="1:15" x14ac:dyDescent="0.25">
      <c r="A261" s="34"/>
      <c r="B261" s="33"/>
      <c r="C261" s="34"/>
      <c r="D261" s="34"/>
      <c r="E261" s="34"/>
      <c r="F261" s="34"/>
      <c r="G261" s="35"/>
      <c r="H261" s="34"/>
      <c r="I261" s="5" t="str">
        <f t="shared" si="15"/>
        <v/>
      </c>
      <c r="J261" s="12" t="str">
        <f t="shared" si="16"/>
        <v/>
      </c>
      <c r="K261" s="37" t="str">
        <f>IF(A261="","",Inputs!$B$11-B261)</f>
        <v/>
      </c>
      <c r="L261" s="5" t="str">
        <f>IF(A261="","",IF(I261&lt;=0,"Sold out",IF(K261&gt;=Inputs!$B$18,"Dead",IF(K261&gt;=Inputs!$B$17,"Ageing",IF(K261&gt;=Inputs!$B$16,"Watch","Fresh")))))</f>
        <v/>
      </c>
      <c r="M261" s="5" t="str">
        <f t="shared" si="17"/>
        <v/>
      </c>
      <c r="N261" s="12" t="str">
        <f t="shared" si="18"/>
        <v/>
      </c>
      <c r="O261" s="36" t="str">
        <f t="shared" si="19"/>
        <v/>
      </c>
    </row>
    <row r="262" spans="1:15" x14ac:dyDescent="0.25">
      <c r="A262" s="34"/>
      <c r="B262" s="33"/>
      <c r="C262" s="34"/>
      <c r="D262" s="34"/>
      <c r="E262" s="34"/>
      <c r="F262" s="34"/>
      <c r="G262" s="35"/>
      <c r="H262" s="34"/>
      <c r="I262" s="5" t="str">
        <f t="shared" ref="I262:I325" si="20">IF(A262="","",F262-H262)</f>
        <v/>
      </c>
      <c r="J262" s="12" t="str">
        <f t="shared" ref="J262:J325" si="21">IF(A262="","",I262*G262)</f>
        <v/>
      </c>
      <c r="K262" s="37" t="str">
        <f>IF(A262="","",Inputs!$B$11-B262)</f>
        <v/>
      </c>
      <c r="L262" s="5" t="str">
        <f>IF(A262="","",IF(I262&lt;=0,"Sold out",IF(K262&gt;=Inputs!$B$18,"Dead",IF(K262&gt;=Inputs!$B$17,"Ageing",IF(K262&gt;=Inputs!$B$16,"Watch","Fresh")))))</f>
        <v/>
      </c>
      <c r="M262" s="5" t="str">
        <f t="shared" ref="M262:M325" si="22">IF(L262="","",IF(L262="Dead","Clearance / exchange with vendor",IF(L262="Ageing","Markdown 20-30%",IF(L262="Watch","Push in reels &amp; WhatsApp broadcast",IF(L262="Fresh","OK","-")))))</f>
        <v/>
      </c>
      <c r="N262" s="12" t="str">
        <f t="shared" ref="N262:N325" si="23">IF(A262="","",F262*G262)</f>
        <v/>
      </c>
      <c r="O262" s="36" t="str">
        <f t="shared" ref="O262:O325" si="24">IF(B262="","",DATE(YEAR(B262),MONTH(B262),1))</f>
        <v/>
      </c>
    </row>
    <row r="263" spans="1:15" x14ac:dyDescent="0.25">
      <c r="A263" s="34"/>
      <c r="B263" s="33"/>
      <c r="C263" s="34"/>
      <c r="D263" s="34"/>
      <c r="E263" s="34"/>
      <c r="F263" s="34"/>
      <c r="G263" s="35"/>
      <c r="H263" s="34"/>
      <c r="I263" s="5" t="str">
        <f t="shared" si="20"/>
        <v/>
      </c>
      <c r="J263" s="12" t="str">
        <f t="shared" si="21"/>
        <v/>
      </c>
      <c r="K263" s="37" t="str">
        <f>IF(A263="","",Inputs!$B$11-B263)</f>
        <v/>
      </c>
      <c r="L263" s="5" t="str">
        <f>IF(A263="","",IF(I263&lt;=0,"Sold out",IF(K263&gt;=Inputs!$B$18,"Dead",IF(K263&gt;=Inputs!$B$17,"Ageing",IF(K263&gt;=Inputs!$B$16,"Watch","Fresh")))))</f>
        <v/>
      </c>
      <c r="M263" s="5" t="str">
        <f t="shared" si="22"/>
        <v/>
      </c>
      <c r="N263" s="12" t="str">
        <f t="shared" si="23"/>
        <v/>
      </c>
      <c r="O263" s="36" t="str">
        <f t="shared" si="24"/>
        <v/>
      </c>
    </row>
    <row r="264" spans="1:15" x14ac:dyDescent="0.25">
      <c r="A264" s="34"/>
      <c r="B264" s="33"/>
      <c r="C264" s="34"/>
      <c r="D264" s="34"/>
      <c r="E264" s="34"/>
      <c r="F264" s="34"/>
      <c r="G264" s="35"/>
      <c r="H264" s="34"/>
      <c r="I264" s="5" t="str">
        <f t="shared" si="20"/>
        <v/>
      </c>
      <c r="J264" s="12" t="str">
        <f t="shared" si="21"/>
        <v/>
      </c>
      <c r="K264" s="37" t="str">
        <f>IF(A264="","",Inputs!$B$11-B264)</f>
        <v/>
      </c>
      <c r="L264" s="5" t="str">
        <f>IF(A264="","",IF(I264&lt;=0,"Sold out",IF(K264&gt;=Inputs!$B$18,"Dead",IF(K264&gt;=Inputs!$B$17,"Ageing",IF(K264&gt;=Inputs!$B$16,"Watch","Fresh")))))</f>
        <v/>
      </c>
      <c r="M264" s="5" t="str">
        <f t="shared" si="22"/>
        <v/>
      </c>
      <c r="N264" s="12" t="str">
        <f t="shared" si="23"/>
        <v/>
      </c>
      <c r="O264" s="36" t="str">
        <f t="shared" si="24"/>
        <v/>
      </c>
    </row>
    <row r="265" spans="1:15" x14ac:dyDescent="0.25">
      <c r="A265" s="34"/>
      <c r="B265" s="33"/>
      <c r="C265" s="34"/>
      <c r="D265" s="34"/>
      <c r="E265" s="34"/>
      <c r="F265" s="34"/>
      <c r="G265" s="35"/>
      <c r="H265" s="34"/>
      <c r="I265" s="5" t="str">
        <f t="shared" si="20"/>
        <v/>
      </c>
      <c r="J265" s="12" t="str">
        <f t="shared" si="21"/>
        <v/>
      </c>
      <c r="K265" s="37" t="str">
        <f>IF(A265="","",Inputs!$B$11-B265)</f>
        <v/>
      </c>
      <c r="L265" s="5" t="str">
        <f>IF(A265="","",IF(I265&lt;=0,"Sold out",IF(K265&gt;=Inputs!$B$18,"Dead",IF(K265&gt;=Inputs!$B$17,"Ageing",IF(K265&gt;=Inputs!$B$16,"Watch","Fresh")))))</f>
        <v/>
      </c>
      <c r="M265" s="5" t="str">
        <f t="shared" si="22"/>
        <v/>
      </c>
      <c r="N265" s="12" t="str">
        <f t="shared" si="23"/>
        <v/>
      </c>
      <c r="O265" s="36" t="str">
        <f t="shared" si="24"/>
        <v/>
      </c>
    </row>
    <row r="266" spans="1:15" x14ac:dyDescent="0.25">
      <c r="A266" s="34"/>
      <c r="B266" s="33"/>
      <c r="C266" s="34"/>
      <c r="D266" s="34"/>
      <c r="E266" s="34"/>
      <c r="F266" s="34"/>
      <c r="G266" s="35"/>
      <c r="H266" s="34"/>
      <c r="I266" s="5" t="str">
        <f t="shared" si="20"/>
        <v/>
      </c>
      <c r="J266" s="12" t="str">
        <f t="shared" si="21"/>
        <v/>
      </c>
      <c r="K266" s="37" t="str">
        <f>IF(A266="","",Inputs!$B$11-B266)</f>
        <v/>
      </c>
      <c r="L266" s="5" t="str">
        <f>IF(A266="","",IF(I266&lt;=0,"Sold out",IF(K266&gt;=Inputs!$B$18,"Dead",IF(K266&gt;=Inputs!$B$17,"Ageing",IF(K266&gt;=Inputs!$B$16,"Watch","Fresh")))))</f>
        <v/>
      </c>
      <c r="M266" s="5" t="str">
        <f t="shared" si="22"/>
        <v/>
      </c>
      <c r="N266" s="12" t="str">
        <f t="shared" si="23"/>
        <v/>
      </c>
      <c r="O266" s="36" t="str">
        <f t="shared" si="24"/>
        <v/>
      </c>
    </row>
    <row r="267" spans="1:15" x14ac:dyDescent="0.25">
      <c r="A267" s="34"/>
      <c r="B267" s="33"/>
      <c r="C267" s="34"/>
      <c r="D267" s="34"/>
      <c r="E267" s="34"/>
      <c r="F267" s="34"/>
      <c r="G267" s="35"/>
      <c r="H267" s="34"/>
      <c r="I267" s="5" t="str">
        <f t="shared" si="20"/>
        <v/>
      </c>
      <c r="J267" s="12" t="str">
        <f t="shared" si="21"/>
        <v/>
      </c>
      <c r="K267" s="37" t="str">
        <f>IF(A267="","",Inputs!$B$11-B267)</f>
        <v/>
      </c>
      <c r="L267" s="5" t="str">
        <f>IF(A267="","",IF(I267&lt;=0,"Sold out",IF(K267&gt;=Inputs!$B$18,"Dead",IF(K267&gt;=Inputs!$B$17,"Ageing",IF(K267&gt;=Inputs!$B$16,"Watch","Fresh")))))</f>
        <v/>
      </c>
      <c r="M267" s="5" t="str">
        <f t="shared" si="22"/>
        <v/>
      </c>
      <c r="N267" s="12" t="str">
        <f t="shared" si="23"/>
        <v/>
      </c>
      <c r="O267" s="36" t="str">
        <f t="shared" si="24"/>
        <v/>
      </c>
    </row>
    <row r="268" spans="1:15" x14ac:dyDescent="0.25">
      <c r="A268" s="34"/>
      <c r="B268" s="33"/>
      <c r="C268" s="34"/>
      <c r="D268" s="34"/>
      <c r="E268" s="34"/>
      <c r="F268" s="34"/>
      <c r="G268" s="35"/>
      <c r="H268" s="34"/>
      <c r="I268" s="5" t="str">
        <f t="shared" si="20"/>
        <v/>
      </c>
      <c r="J268" s="12" t="str">
        <f t="shared" si="21"/>
        <v/>
      </c>
      <c r="K268" s="37" t="str">
        <f>IF(A268="","",Inputs!$B$11-B268)</f>
        <v/>
      </c>
      <c r="L268" s="5" t="str">
        <f>IF(A268="","",IF(I268&lt;=0,"Sold out",IF(K268&gt;=Inputs!$B$18,"Dead",IF(K268&gt;=Inputs!$B$17,"Ageing",IF(K268&gt;=Inputs!$B$16,"Watch","Fresh")))))</f>
        <v/>
      </c>
      <c r="M268" s="5" t="str">
        <f t="shared" si="22"/>
        <v/>
      </c>
      <c r="N268" s="12" t="str">
        <f t="shared" si="23"/>
        <v/>
      </c>
      <c r="O268" s="36" t="str">
        <f t="shared" si="24"/>
        <v/>
      </c>
    </row>
    <row r="269" spans="1:15" x14ac:dyDescent="0.25">
      <c r="A269" s="34"/>
      <c r="B269" s="33"/>
      <c r="C269" s="34"/>
      <c r="D269" s="34"/>
      <c r="E269" s="34"/>
      <c r="F269" s="34"/>
      <c r="G269" s="35"/>
      <c r="H269" s="34"/>
      <c r="I269" s="5" t="str">
        <f t="shared" si="20"/>
        <v/>
      </c>
      <c r="J269" s="12" t="str">
        <f t="shared" si="21"/>
        <v/>
      </c>
      <c r="K269" s="37" t="str">
        <f>IF(A269="","",Inputs!$B$11-B269)</f>
        <v/>
      </c>
      <c r="L269" s="5" t="str">
        <f>IF(A269="","",IF(I269&lt;=0,"Sold out",IF(K269&gt;=Inputs!$B$18,"Dead",IF(K269&gt;=Inputs!$B$17,"Ageing",IF(K269&gt;=Inputs!$B$16,"Watch","Fresh")))))</f>
        <v/>
      </c>
      <c r="M269" s="5" t="str">
        <f t="shared" si="22"/>
        <v/>
      </c>
      <c r="N269" s="12" t="str">
        <f t="shared" si="23"/>
        <v/>
      </c>
      <c r="O269" s="36" t="str">
        <f t="shared" si="24"/>
        <v/>
      </c>
    </row>
    <row r="270" spans="1:15" x14ac:dyDescent="0.25">
      <c r="A270" s="34"/>
      <c r="B270" s="33"/>
      <c r="C270" s="34"/>
      <c r="D270" s="34"/>
      <c r="E270" s="34"/>
      <c r="F270" s="34"/>
      <c r="G270" s="35"/>
      <c r="H270" s="34"/>
      <c r="I270" s="5" t="str">
        <f t="shared" si="20"/>
        <v/>
      </c>
      <c r="J270" s="12" t="str">
        <f t="shared" si="21"/>
        <v/>
      </c>
      <c r="K270" s="37" t="str">
        <f>IF(A270="","",Inputs!$B$11-B270)</f>
        <v/>
      </c>
      <c r="L270" s="5" t="str">
        <f>IF(A270="","",IF(I270&lt;=0,"Sold out",IF(K270&gt;=Inputs!$B$18,"Dead",IF(K270&gt;=Inputs!$B$17,"Ageing",IF(K270&gt;=Inputs!$B$16,"Watch","Fresh")))))</f>
        <v/>
      </c>
      <c r="M270" s="5" t="str">
        <f t="shared" si="22"/>
        <v/>
      </c>
      <c r="N270" s="12" t="str">
        <f t="shared" si="23"/>
        <v/>
      </c>
      <c r="O270" s="36" t="str">
        <f t="shared" si="24"/>
        <v/>
      </c>
    </row>
    <row r="271" spans="1:15" x14ac:dyDescent="0.25">
      <c r="A271" s="34"/>
      <c r="B271" s="33"/>
      <c r="C271" s="34"/>
      <c r="D271" s="34"/>
      <c r="E271" s="34"/>
      <c r="F271" s="34"/>
      <c r="G271" s="35"/>
      <c r="H271" s="34"/>
      <c r="I271" s="5" t="str">
        <f t="shared" si="20"/>
        <v/>
      </c>
      <c r="J271" s="12" t="str">
        <f t="shared" si="21"/>
        <v/>
      </c>
      <c r="K271" s="37" t="str">
        <f>IF(A271="","",Inputs!$B$11-B271)</f>
        <v/>
      </c>
      <c r="L271" s="5" t="str">
        <f>IF(A271="","",IF(I271&lt;=0,"Sold out",IF(K271&gt;=Inputs!$B$18,"Dead",IF(K271&gt;=Inputs!$B$17,"Ageing",IF(K271&gt;=Inputs!$B$16,"Watch","Fresh")))))</f>
        <v/>
      </c>
      <c r="M271" s="5" t="str">
        <f t="shared" si="22"/>
        <v/>
      </c>
      <c r="N271" s="12" t="str">
        <f t="shared" si="23"/>
        <v/>
      </c>
      <c r="O271" s="36" t="str">
        <f t="shared" si="24"/>
        <v/>
      </c>
    </row>
    <row r="272" spans="1:15" x14ac:dyDescent="0.25">
      <c r="A272" s="34"/>
      <c r="B272" s="33"/>
      <c r="C272" s="34"/>
      <c r="D272" s="34"/>
      <c r="E272" s="34"/>
      <c r="F272" s="34"/>
      <c r="G272" s="35"/>
      <c r="H272" s="34"/>
      <c r="I272" s="5" t="str">
        <f t="shared" si="20"/>
        <v/>
      </c>
      <c r="J272" s="12" t="str">
        <f t="shared" si="21"/>
        <v/>
      </c>
      <c r="K272" s="37" t="str">
        <f>IF(A272="","",Inputs!$B$11-B272)</f>
        <v/>
      </c>
      <c r="L272" s="5" t="str">
        <f>IF(A272="","",IF(I272&lt;=0,"Sold out",IF(K272&gt;=Inputs!$B$18,"Dead",IF(K272&gt;=Inputs!$B$17,"Ageing",IF(K272&gt;=Inputs!$B$16,"Watch","Fresh")))))</f>
        <v/>
      </c>
      <c r="M272" s="5" t="str">
        <f t="shared" si="22"/>
        <v/>
      </c>
      <c r="N272" s="12" t="str">
        <f t="shared" si="23"/>
        <v/>
      </c>
      <c r="O272" s="36" t="str">
        <f t="shared" si="24"/>
        <v/>
      </c>
    </row>
    <row r="273" spans="1:15" x14ac:dyDescent="0.25">
      <c r="A273" s="34"/>
      <c r="B273" s="33"/>
      <c r="C273" s="34"/>
      <c r="D273" s="34"/>
      <c r="E273" s="34"/>
      <c r="F273" s="34"/>
      <c r="G273" s="35"/>
      <c r="H273" s="34"/>
      <c r="I273" s="5" t="str">
        <f t="shared" si="20"/>
        <v/>
      </c>
      <c r="J273" s="12" t="str">
        <f t="shared" si="21"/>
        <v/>
      </c>
      <c r="K273" s="37" t="str">
        <f>IF(A273="","",Inputs!$B$11-B273)</f>
        <v/>
      </c>
      <c r="L273" s="5" t="str">
        <f>IF(A273="","",IF(I273&lt;=0,"Sold out",IF(K273&gt;=Inputs!$B$18,"Dead",IF(K273&gt;=Inputs!$B$17,"Ageing",IF(K273&gt;=Inputs!$B$16,"Watch","Fresh")))))</f>
        <v/>
      </c>
      <c r="M273" s="5" t="str">
        <f t="shared" si="22"/>
        <v/>
      </c>
      <c r="N273" s="12" t="str">
        <f t="shared" si="23"/>
        <v/>
      </c>
      <c r="O273" s="36" t="str">
        <f t="shared" si="24"/>
        <v/>
      </c>
    </row>
    <row r="274" spans="1:15" x14ac:dyDescent="0.25">
      <c r="A274" s="34"/>
      <c r="B274" s="33"/>
      <c r="C274" s="34"/>
      <c r="D274" s="34"/>
      <c r="E274" s="34"/>
      <c r="F274" s="34"/>
      <c r="G274" s="35"/>
      <c r="H274" s="34"/>
      <c r="I274" s="5" t="str">
        <f t="shared" si="20"/>
        <v/>
      </c>
      <c r="J274" s="12" t="str">
        <f t="shared" si="21"/>
        <v/>
      </c>
      <c r="K274" s="37" t="str">
        <f>IF(A274="","",Inputs!$B$11-B274)</f>
        <v/>
      </c>
      <c r="L274" s="5" t="str">
        <f>IF(A274="","",IF(I274&lt;=0,"Sold out",IF(K274&gt;=Inputs!$B$18,"Dead",IF(K274&gt;=Inputs!$B$17,"Ageing",IF(K274&gt;=Inputs!$B$16,"Watch","Fresh")))))</f>
        <v/>
      </c>
      <c r="M274" s="5" t="str">
        <f t="shared" si="22"/>
        <v/>
      </c>
      <c r="N274" s="12" t="str">
        <f t="shared" si="23"/>
        <v/>
      </c>
      <c r="O274" s="36" t="str">
        <f t="shared" si="24"/>
        <v/>
      </c>
    </row>
    <row r="275" spans="1:15" x14ac:dyDescent="0.25">
      <c r="A275" s="34"/>
      <c r="B275" s="33"/>
      <c r="C275" s="34"/>
      <c r="D275" s="34"/>
      <c r="E275" s="34"/>
      <c r="F275" s="34"/>
      <c r="G275" s="35"/>
      <c r="H275" s="34"/>
      <c r="I275" s="5" t="str">
        <f t="shared" si="20"/>
        <v/>
      </c>
      <c r="J275" s="12" t="str">
        <f t="shared" si="21"/>
        <v/>
      </c>
      <c r="K275" s="37" t="str">
        <f>IF(A275="","",Inputs!$B$11-B275)</f>
        <v/>
      </c>
      <c r="L275" s="5" t="str">
        <f>IF(A275="","",IF(I275&lt;=0,"Sold out",IF(K275&gt;=Inputs!$B$18,"Dead",IF(K275&gt;=Inputs!$B$17,"Ageing",IF(K275&gt;=Inputs!$B$16,"Watch","Fresh")))))</f>
        <v/>
      </c>
      <c r="M275" s="5" t="str">
        <f t="shared" si="22"/>
        <v/>
      </c>
      <c r="N275" s="12" t="str">
        <f t="shared" si="23"/>
        <v/>
      </c>
      <c r="O275" s="36" t="str">
        <f t="shared" si="24"/>
        <v/>
      </c>
    </row>
    <row r="276" spans="1:15" x14ac:dyDescent="0.25">
      <c r="A276" s="34"/>
      <c r="B276" s="33"/>
      <c r="C276" s="34"/>
      <c r="D276" s="34"/>
      <c r="E276" s="34"/>
      <c r="F276" s="34"/>
      <c r="G276" s="35"/>
      <c r="H276" s="34"/>
      <c r="I276" s="5" t="str">
        <f t="shared" si="20"/>
        <v/>
      </c>
      <c r="J276" s="12" t="str">
        <f t="shared" si="21"/>
        <v/>
      </c>
      <c r="K276" s="37" t="str">
        <f>IF(A276="","",Inputs!$B$11-B276)</f>
        <v/>
      </c>
      <c r="L276" s="5" t="str">
        <f>IF(A276="","",IF(I276&lt;=0,"Sold out",IF(K276&gt;=Inputs!$B$18,"Dead",IF(K276&gt;=Inputs!$B$17,"Ageing",IF(K276&gt;=Inputs!$B$16,"Watch","Fresh")))))</f>
        <v/>
      </c>
      <c r="M276" s="5" t="str">
        <f t="shared" si="22"/>
        <v/>
      </c>
      <c r="N276" s="12" t="str">
        <f t="shared" si="23"/>
        <v/>
      </c>
      <c r="O276" s="36" t="str">
        <f t="shared" si="24"/>
        <v/>
      </c>
    </row>
    <row r="277" spans="1:15" x14ac:dyDescent="0.25">
      <c r="A277" s="34"/>
      <c r="B277" s="33"/>
      <c r="C277" s="34"/>
      <c r="D277" s="34"/>
      <c r="E277" s="34"/>
      <c r="F277" s="34"/>
      <c r="G277" s="35"/>
      <c r="H277" s="34"/>
      <c r="I277" s="5" t="str">
        <f t="shared" si="20"/>
        <v/>
      </c>
      <c r="J277" s="12" t="str">
        <f t="shared" si="21"/>
        <v/>
      </c>
      <c r="K277" s="37" t="str">
        <f>IF(A277="","",Inputs!$B$11-B277)</f>
        <v/>
      </c>
      <c r="L277" s="5" t="str">
        <f>IF(A277="","",IF(I277&lt;=0,"Sold out",IF(K277&gt;=Inputs!$B$18,"Dead",IF(K277&gt;=Inputs!$B$17,"Ageing",IF(K277&gt;=Inputs!$B$16,"Watch","Fresh")))))</f>
        <v/>
      </c>
      <c r="M277" s="5" t="str">
        <f t="shared" si="22"/>
        <v/>
      </c>
      <c r="N277" s="12" t="str">
        <f t="shared" si="23"/>
        <v/>
      </c>
      <c r="O277" s="36" t="str">
        <f t="shared" si="24"/>
        <v/>
      </c>
    </row>
    <row r="278" spans="1:15" x14ac:dyDescent="0.25">
      <c r="A278" s="34"/>
      <c r="B278" s="33"/>
      <c r="C278" s="34"/>
      <c r="D278" s="34"/>
      <c r="E278" s="34"/>
      <c r="F278" s="34"/>
      <c r="G278" s="35"/>
      <c r="H278" s="34"/>
      <c r="I278" s="5" t="str">
        <f t="shared" si="20"/>
        <v/>
      </c>
      <c r="J278" s="12" t="str">
        <f t="shared" si="21"/>
        <v/>
      </c>
      <c r="K278" s="37" t="str">
        <f>IF(A278="","",Inputs!$B$11-B278)</f>
        <v/>
      </c>
      <c r="L278" s="5" t="str">
        <f>IF(A278="","",IF(I278&lt;=0,"Sold out",IF(K278&gt;=Inputs!$B$18,"Dead",IF(K278&gt;=Inputs!$B$17,"Ageing",IF(K278&gt;=Inputs!$B$16,"Watch","Fresh")))))</f>
        <v/>
      </c>
      <c r="M278" s="5" t="str">
        <f t="shared" si="22"/>
        <v/>
      </c>
      <c r="N278" s="12" t="str">
        <f t="shared" si="23"/>
        <v/>
      </c>
      <c r="O278" s="36" t="str">
        <f t="shared" si="24"/>
        <v/>
      </c>
    </row>
    <row r="279" spans="1:15" x14ac:dyDescent="0.25">
      <c r="A279" s="34"/>
      <c r="B279" s="33"/>
      <c r="C279" s="34"/>
      <c r="D279" s="34"/>
      <c r="E279" s="34"/>
      <c r="F279" s="34"/>
      <c r="G279" s="35"/>
      <c r="H279" s="34"/>
      <c r="I279" s="5" t="str">
        <f t="shared" si="20"/>
        <v/>
      </c>
      <c r="J279" s="12" t="str">
        <f t="shared" si="21"/>
        <v/>
      </c>
      <c r="K279" s="37" t="str">
        <f>IF(A279="","",Inputs!$B$11-B279)</f>
        <v/>
      </c>
      <c r="L279" s="5" t="str">
        <f>IF(A279="","",IF(I279&lt;=0,"Sold out",IF(K279&gt;=Inputs!$B$18,"Dead",IF(K279&gt;=Inputs!$B$17,"Ageing",IF(K279&gt;=Inputs!$B$16,"Watch","Fresh")))))</f>
        <v/>
      </c>
      <c r="M279" s="5" t="str">
        <f t="shared" si="22"/>
        <v/>
      </c>
      <c r="N279" s="12" t="str">
        <f t="shared" si="23"/>
        <v/>
      </c>
      <c r="O279" s="36" t="str">
        <f t="shared" si="24"/>
        <v/>
      </c>
    </row>
    <row r="280" spans="1:15" x14ac:dyDescent="0.25">
      <c r="A280" s="34"/>
      <c r="B280" s="33"/>
      <c r="C280" s="34"/>
      <c r="D280" s="34"/>
      <c r="E280" s="34"/>
      <c r="F280" s="34"/>
      <c r="G280" s="35"/>
      <c r="H280" s="34"/>
      <c r="I280" s="5" t="str">
        <f t="shared" si="20"/>
        <v/>
      </c>
      <c r="J280" s="12" t="str">
        <f t="shared" si="21"/>
        <v/>
      </c>
      <c r="K280" s="37" t="str">
        <f>IF(A280="","",Inputs!$B$11-B280)</f>
        <v/>
      </c>
      <c r="L280" s="5" t="str">
        <f>IF(A280="","",IF(I280&lt;=0,"Sold out",IF(K280&gt;=Inputs!$B$18,"Dead",IF(K280&gt;=Inputs!$B$17,"Ageing",IF(K280&gt;=Inputs!$B$16,"Watch","Fresh")))))</f>
        <v/>
      </c>
      <c r="M280" s="5" t="str">
        <f t="shared" si="22"/>
        <v/>
      </c>
      <c r="N280" s="12" t="str">
        <f t="shared" si="23"/>
        <v/>
      </c>
      <c r="O280" s="36" t="str">
        <f t="shared" si="24"/>
        <v/>
      </c>
    </row>
    <row r="281" spans="1:15" x14ac:dyDescent="0.25">
      <c r="A281" s="34"/>
      <c r="B281" s="33"/>
      <c r="C281" s="34"/>
      <c r="D281" s="34"/>
      <c r="E281" s="34"/>
      <c r="F281" s="34"/>
      <c r="G281" s="35"/>
      <c r="H281" s="34"/>
      <c r="I281" s="5" t="str">
        <f t="shared" si="20"/>
        <v/>
      </c>
      <c r="J281" s="12" t="str">
        <f t="shared" si="21"/>
        <v/>
      </c>
      <c r="K281" s="37" t="str">
        <f>IF(A281="","",Inputs!$B$11-B281)</f>
        <v/>
      </c>
      <c r="L281" s="5" t="str">
        <f>IF(A281="","",IF(I281&lt;=0,"Sold out",IF(K281&gt;=Inputs!$B$18,"Dead",IF(K281&gt;=Inputs!$B$17,"Ageing",IF(K281&gt;=Inputs!$B$16,"Watch","Fresh")))))</f>
        <v/>
      </c>
      <c r="M281" s="5" t="str">
        <f t="shared" si="22"/>
        <v/>
      </c>
      <c r="N281" s="12" t="str">
        <f t="shared" si="23"/>
        <v/>
      </c>
      <c r="O281" s="36" t="str">
        <f t="shared" si="24"/>
        <v/>
      </c>
    </row>
    <row r="282" spans="1:15" x14ac:dyDescent="0.25">
      <c r="A282" s="34"/>
      <c r="B282" s="33"/>
      <c r="C282" s="34"/>
      <c r="D282" s="34"/>
      <c r="E282" s="34"/>
      <c r="F282" s="34"/>
      <c r="G282" s="35"/>
      <c r="H282" s="34"/>
      <c r="I282" s="5" t="str">
        <f t="shared" si="20"/>
        <v/>
      </c>
      <c r="J282" s="12" t="str">
        <f t="shared" si="21"/>
        <v/>
      </c>
      <c r="K282" s="37" t="str">
        <f>IF(A282="","",Inputs!$B$11-B282)</f>
        <v/>
      </c>
      <c r="L282" s="5" t="str">
        <f>IF(A282="","",IF(I282&lt;=0,"Sold out",IF(K282&gt;=Inputs!$B$18,"Dead",IF(K282&gt;=Inputs!$B$17,"Ageing",IF(K282&gt;=Inputs!$B$16,"Watch","Fresh")))))</f>
        <v/>
      </c>
      <c r="M282" s="5" t="str">
        <f t="shared" si="22"/>
        <v/>
      </c>
      <c r="N282" s="12" t="str">
        <f t="shared" si="23"/>
        <v/>
      </c>
      <c r="O282" s="36" t="str">
        <f t="shared" si="24"/>
        <v/>
      </c>
    </row>
    <row r="283" spans="1:15" x14ac:dyDescent="0.25">
      <c r="A283" s="34"/>
      <c r="B283" s="33"/>
      <c r="C283" s="34"/>
      <c r="D283" s="34"/>
      <c r="E283" s="34"/>
      <c r="F283" s="34"/>
      <c r="G283" s="35"/>
      <c r="H283" s="34"/>
      <c r="I283" s="5" t="str">
        <f t="shared" si="20"/>
        <v/>
      </c>
      <c r="J283" s="12" t="str">
        <f t="shared" si="21"/>
        <v/>
      </c>
      <c r="K283" s="37" t="str">
        <f>IF(A283="","",Inputs!$B$11-B283)</f>
        <v/>
      </c>
      <c r="L283" s="5" t="str">
        <f>IF(A283="","",IF(I283&lt;=0,"Sold out",IF(K283&gt;=Inputs!$B$18,"Dead",IF(K283&gt;=Inputs!$B$17,"Ageing",IF(K283&gt;=Inputs!$B$16,"Watch","Fresh")))))</f>
        <v/>
      </c>
      <c r="M283" s="5" t="str">
        <f t="shared" si="22"/>
        <v/>
      </c>
      <c r="N283" s="12" t="str">
        <f t="shared" si="23"/>
        <v/>
      </c>
      <c r="O283" s="36" t="str">
        <f t="shared" si="24"/>
        <v/>
      </c>
    </row>
    <row r="284" spans="1:15" x14ac:dyDescent="0.25">
      <c r="A284" s="34"/>
      <c r="B284" s="33"/>
      <c r="C284" s="34"/>
      <c r="D284" s="34"/>
      <c r="E284" s="34"/>
      <c r="F284" s="34"/>
      <c r="G284" s="35"/>
      <c r="H284" s="34"/>
      <c r="I284" s="5" t="str">
        <f t="shared" si="20"/>
        <v/>
      </c>
      <c r="J284" s="12" t="str">
        <f t="shared" si="21"/>
        <v/>
      </c>
      <c r="K284" s="37" t="str">
        <f>IF(A284="","",Inputs!$B$11-B284)</f>
        <v/>
      </c>
      <c r="L284" s="5" t="str">
        <f>IF(A284="","",IF(I284&lt;=0,"Sold out",IF(K284&gt;=Inputs!$B$18,"Dead",IF(K284&gt;=Inputs!$B$17,"Ageing",IF(K284&gt;=Inputs!$B$16,"Watch","Fresh")))))</f>
        <v/>
      </c>
      <c r="M284" s="5" t="str">
        <f t="shared" si="22"/>
        <v/>
      </c>
      <c r="N284" s="12" t="str">
        <f t="shared" si="23"/>
        <v/>
      </c>
      <c r="O284" s="36" t="str">
        <f t="shared" si="24"/>
        <v/>
      </c>
    </row>
    <row r="285" spans="1:15" x14ac:dyDescent="0.25">
      <c r="A285" s="34"/>
      <c r="B285" s="33"/>
      <c r="C285" s="34"/>
      <c r="D285" s="34"/>
      <c r="E285" s="34"/>
      <c r="F285" s="34"/>
      <c r="G285" s="35"/>
      <c r="H285" s="34"/>
      <c r="I285" s="5" t="str">
        <f t="shared" si="20"/>
        <v/>
      </c>
      <c r="J285" s="12" t="str">
        <f t="shared" si="21"/>
        <v/>
      </c>
      <c r="K285" s="37" t="str">
        <f>IF(A285="","",Inputs!$B$11-B285)</f>
        <v/>
      </c>
      <c r="L285" s="5" t="str">
        <f>IF(A285="","",IF(I285&lt;=0,"Sold out",IF(K285&gt;=Inputs!$B$18,"Dead",IF(K285&gt;=Inputs!$B$17,"Ageing",IF(K285&gt;=Inputs!$B$16,"Watch","Fresh")))))</f>
        <v/>
      </c>
      <c r="M285" s="5" t="str">
        <f t="shared" si="22"/>
        <v/>
      </c>
      <c r="N285" s="12" t="str">
        <f t="shared" si="23"/>
        <v/>
      </c>
      <c r="O285" s="36" t="str">
        <f t="shared" si="24"/>
        <v/>
      </c>
    </row>
    <row r="286" spans="1:15" x14ac:dyDescent="0.25">
      <c r="A286" s="34"/>
      <c r="B286" s="33"/>
      <c r="C286" s="34"/>
      <c r="D286" s="34"/>
      <c r="E286" s="34"/>
      <c r="F286" s="34"/>
      <c r="G286" s="35"/>
      <c r="H286" s="34"/>
      <c r="I286" s="5" t="str">
        <f t="shared" si="20"/>
        <v/>
      </c>
      <c r="J286" s="12" t="str">
        <f t="shared" si="21"/>
        <v/>
      </c>
      <c r="K286" s="37" t="str">
        <f>IF(A286="","",Inputs!$B$11-B286)</f>
        <v/>
      </c>
      <c r="L286" s="5" t="str">
        <f>IF(A286="","",IF(I286&lt;=0,"Sold out",IF(K286&gt;=Inputs!$B$18,"Dead",IF(K286&gt;=Inputs!$B$17,"Ageing",IF(K286&gt;=Inputs!$B$16,"Watch","Fresh")))))</f>
        <v/>
      </c>
      <c r="M286" s="5" t="str">
        <f t="shared" si="22"/>
        <v/>
      </c>
      <c r="N286" s="12" t="str">
        <f t="shared" si="23"/>
        <v/>
      </c>
      <c r="O286" s="36" t="str">
        <f t="shared" si="24"/>
        <v/>
      </c>
    </row>
    <row r="287" spans="1:15" x14ac:dyDescent="0.25">
      <c r="A287" s="34"/>
      <c r="B287" s="33"/>
      <c r="C287" s="34"/>
      <c r="D287" s="34"/>
      <c r="E287" s="34"/>
      <c r="F287" s="34"/>
      <c r="G287" s="35"/>
      <c r="H287" s="34"/>
      <c r="I287" s="5" t="str">
        <f t="shared" si="20"/>
        <v/>
      </c>
      <c r="J287" s="12" t="str">
        <f t="shared" si="21"/>
        <v/>
      </c>
      <c r="K287" s="37" t="str">
        <f>IF(A287="","",Inputs!$B$11-B287)</f>
        <v/>
      </c>
      <c r="L287" s="5" t="str">
        <f>IF(A287="","",IF(I287&lt;=0,"Sold out",IF(K287&gt;=Inputs!$B$18,"Dead",IF(K287&gt;=Inputs!$B$17,"Ageing",IF(K287&gt;=Inputs!$B$16,"Watch","Fresh")))))</f>
        <v/>
      </c>
      <c r="M287" s="5" t="str">
        <f t="shared" si="22"/>
        <v/>
      </c>
      <c r="N287" s="12" t="str">
        <f t="shared" si="23"/>
        <v/>
      </c>
      <c r="O287" s="36" t="str">
        <f t="shared" si="24"/>
        <v/>
      </c>
    </row>
    <row r="288" spans="1:15" x14ac:dyDescent="0.25">
      <c r="A288" s="34"/>
      <c r="B288" s="33"/>
      <c r="C288" s="34"/>
      <c r="D288" s="34"/>
      <c r="E288" s="34"/>
      <c r="F288" s="34"/>
      <c r="G288" s="35"/>
      <c r="H288" s="34"/>
      <c r="I288" s="5" t="str">
        <f t="shared" si="20"/>
        <v/>
      </c>
      <c r="J288" s="12" t="str">
        <f t="shared" si="21"/>
        <v/>
      </c>
      <c r="K288" s="37" t="str">
        <f>IF(A288="","",Inputs!$B$11-B288)</f>
        <v/>
      </c>
      <c r="L288" s="5" t="str">
        <f>IF(A288="","",IF(I288&lt;=0,"Sold out",IF(K288&gt;=Inputs!$B$18,"Dead",IF(K288&gt;=Inputs!$B$17,"Ageing",IF(K288&gt;=Inputs!$B$16,"Watch","Fresh")))))</f>
        <v/>
      </c>
      <c r="M288" s="5" t="str">
        <f t="shared" si="22"/>
        <v/>
      </c>
      <c r="N288" s="12" t="str">
        <f t="shared" si="23"/>
        <v/>
      </c>
      <c r="O288" s="36" t="str">
        <f t="shared" si="24"/>
        <v/>
      </c>
    </row>
    <row r="289" spans="1:15" x14ac:dyDescent="0.25">
      <c r="A289" s="34"/>
      <c r="B289" s="33"/>
      <c r="C289" s="34"/>
      <c r="D289" s="34"/>
      <c r="E289" s="34"/>
      <c r="F289" s="34"/>
      <c r="G289" s="35"/>
      <c r="H289" s="34"/>
      <c r="I289" s="5" t="str">
        <f t="shared" si="20"/>
        <v/>
      </c>
      <c r="J289" s="12" t="str">
        <f t="shared" si="21"/>
        <v/>
      </c>
      <c r="K289" s="37" t="str">
        <f>IF(A289="","",Inputs!$B$11-B289)</f>
        <v/>
      </c>
      <c r="L289" s="5" t="str">
        <f>IF(A289="","",IF(I289&lt;=0,"Sold out",IF(K289&gt;=Inputs!$B$18,"Dead",IF(K289&gt;=Inputs!$B$17,"Ageing",IF(K289&gt;=Inputs!$B$16,"Watch","Fresh")))))</f>
        <v/>
      </c>
      <c r="M289" s="5" t="str">
        <f t="shared" si="22"/>
        <v/>
      </c>
      <c r="N289" s="12" t="str">
        <f t="shared" si="23"/>
        <v/>
      </c>
      <c r="O289" s="36" t="str">
        <f t="shared" si="24"/>
        <v/>
      </c>
    </row>
    <row r="290" spans="1:15" x14ac:dyDescent="0.25">
      <c r="A290" s="34"/>
      <c r="B290" s="33"/>
      <c r="C290" s="34"/>
      <c r="D290" s="34"/>
      <c r="E290" s="34"/>
      <c r="F290" s="34"/>
      <c r="G290" s="35"/>
      <c r="H290" s="34"/>
      <c r="I290" s="5" t="str">
        <f t="shared" si="20"/>
        <v/>
      </c>
      <c r="J290" s="12" t="str">
        <f t="shared" si="21"/>
        <v/>
      </c>
      <c r="K290" s="37" t="str">
        <f>IF(A290="","",Inputs!$B$11-B290)</f>
        <v/>
      </c>
      <c r="L290" s="5" t="str">
        <f>IF(A290="","",IF(I290&lt;=0,"Sold out",IF(K290&gt;=Inputs!$B$18,"Dead",IF(K290&gt;=Inputs!$B$17,"Ageing",IF(K290&gt;=Inputs!$B$16,"Watch","Fresh")))))</f>
        <v/>
      </c>
      <c r="M290" s="5" t="str">
        <f t="shared" si="22"/>
        <v/>
      </c>
      <c r="N290" s="12" t="str">
        <f t="shared" si="23"/>
        <v/>
      </c>
      <c r="O290" s="36" t="str">
        <f t="shared" si="24"/>
        <v/>
      </c>
    </row>
    <row r="291" spans="1:15" x14ac:dyDescent="0.25">
      <c r="A291" s="34"/>
      <c r="B291" s="33"/>
      <c r="C291" s="34"/>
      <c r="D291" s="34"/>
      <c r="E291" s="34"/>
      <c r="F291" s="34"/>
      <c r="G291" s="35"/>
      <c r="H291" s="34"/>
      <c r="I291" s="5" t="str">
        <f t="shared" si="20"/>
        <v/>
      </c>
      <c r="J291" s="12" t="str">
        <f t="shared" si="21"/>
        <v/>
      </c>
      <c r="K291" s="37" t="str">
        <f>IF(A291="","",Inputs!$B$11-B291)</f>
        <v/>
      </c>
      <c r="L291" s="5" t="str">
        <f>IF(A291="","",IF(I291&lt;=0,"Sold out",IF(K291&gt;=Inputs!$B$18,"Dead",IF(K291&gt;=Inputs!$B$17,"Ageing",IF(K291&gt;=Inputs!$B$16,"Watch","Fresh")))))</f>
        <v/>
      </c>
      <c r="M291" s="5" t="str">
        <f t="shared" si="22"/>
        <v/>
      </c>
      <c r="N291" s="12" t="str">
        <f t="shared" si="23"/>
        <v/>
      </c>
      <c r="O291" s="36" t="str">
        <f t="shared" si="24"/>
        <v/>
      </c>
    </row>
    <row r="292" spans="1:15" x14ac:dyDescent="0.25">
      <c r="A292" s="34"/>
      <c r="B292" s="33"/>
      <c r="C292" s="34"/>
      <c r="D292" s="34"/>
      <c r="E292" s="34"/>
      <c r="F292" s="34"/>
      <c r="G292" s="35"/>
      <c r="H292" s="34"/>
      <c r="I292" s="5" t="str">
        <f t="shared" si="20"/>
        <v/>
      </c>
      <c r="J292" s="12" t="str">
        <f t="shared" si="21"/>
        <v/>
      </c>
      <c r="K292" s="37" t="str">
        <f>IF(A292="","",Inputs!$B$11-B292)</f>
        <v/>
      </c>
      <c r="L292" s="5" t="str">
        <f>IF(A292="","",IF(I292&lt;=0,"Sold out",IF(K292&gt;=Inputs!$B$18,"Dead",IF(K292&gt;=Inputs!$B$17,"Ageing",IF(K292&gt;=Inputs!$B$16,"Watch","Fresh")))))</f>
        <v/>
      </c>
      <c r="M292" s="5" t="str">
        <f t="shared" si="22"/>
        <v/>
      </c>
      <c r="N292" s="12" t="str">
        <f t="shared" si="23"/>
        <v/>
      </c>
      <c r="O292" s="36" t="str">
        <f t="shared" si="24"/>
        <v/>
      </c>
    </row>
    <row r="293" spans="1:15" x14ac:dyDescent="0.25">
      <c r="A293" s="34"/>
      <c r="B293" s="33"/>
      <c r="C293" s="34"/>
      <c r="D293" s="34"/>
      <c r="E293" s="34"/>
      <c r="F293" s="34"/>
      <c r="G293" s="35"/>
      <c r="H293" s="34"/>
      <c r="I293" s="5" t="str">
        <f t="shared" si="20"/>
        <v/>
      </c>
      <c r="J293" s="12" t="str">
        <f t="shared" si="21"/>
        <v/>
      </c>
      <c r="K293" s="37" t="str">
        <f>IF(A293="","",Inputs!$B$11-B293)</f>
        <v/>
      </c>
      <c r="L293" s="5" t="str">
        <f>IF(A293="","",IF(I293&lt;=0,"Sold out",IF(K293&gt;=Inputs!$B$18,"Dead",IF(K293&gt;=Inputs!$B$17,"Ageing",IF(K293&gt;=Inputs!$B$16,"Watch","Fresh")))))</f>
        <v/>
      </c>
      <c r="M293" s="5" t="str">
        <f t="shared" si="22"/>
        <v/>
      </c>
      <c r="N293" s="12" t="str">
        <f t="shared" si="23"/>
        <v/>
      </c>
      <c r="O293" s="36" t="str">
        <f t="shared" si="24"/>
        <v/>
      </c>
    </row>
    <row r="294" spans="1:15" x14ac:dyDescent="0.25">
      <c r="A294" s="34"/>
      <c r="B294" s="33"/>
      <c r="C294" s="34"/>
      <c r="D294" s="34"/>
      <c r="E294" s="34"/>
      <c r="F294" s="34"/>
      <c r="G294" s="35"/>
      <c r="H294" s="34"/>
      <c r="I294" s="5" t="str">
        <f t="shared" si="20"/>
        <v/>
      </c>
      <c r="J294" s="12" t="str">
        <f t="shared" si="21"/>
        <v/>
      </c>
      <c r="K294" s="37" t="str">
        <f>IF(A294="","",Inputs!$B$11-B294)</f>
        <v/>
      </c>
      <c r="L294" s="5" t="str">
        <f>IF(A294="","",IF(I294&lt;=0,"Sold out",IF(K294&gt;=Inputs!$B$18,"Dead",IF(K294&gt;=Inputs!$B$17,"Ageing",IF(K294&gt;=Inputs!$B$16,"Watch","Fresh")))))</f>
        <v/>
      </c>
      <c r="M294" s="5" t="str">
        <f t="shared" si="22"/>
        <v/>
      </c>
      <c r="N294" s="12" t="str">
        <f t="shared" si="23"/>
        <v/>
      </c>
      <c r="O294" s="36" t="str">
        <f t="shared" si="24"/>
        <v/>
      </c>
    </row>
    <row r="295" spans="1:15" x14ac:dyDescent="0.25">
      <c r="A295" s="34"/>
      <c r="B295" s="33"/>
      <c r="C295" s="34"/>
      <c r="D295" s="34"/>
      <c r="E295" s="34"/>
      <c r="F295" s="34"/>
      <c r="G295" s="35"/>
      <c r="H295" s="34"/>
      <c r="I295" s="5" t="str">
        <f t="shared" si="20"/>
        <v/>
      </c>
      <c r="J295" s="12" t="str">
        <f t="shared" si="21"/>
        <v/>
      </c>
      <c r="K295" s="37" t="str">
        <f>IF(A295="","",Inputs!$B$11-B295)</f>
        <v/>
      </c>
      <c r="L295" s="5" t="str">
        <f>IF(A295="","",IF(I295&lt;=0,"Sold out",IF(K295&gt;=Inputs!$B$18,"Dead",IF(K295&gt;=Inputs!$B$17,"Ageing",IF(K295&gt;=Inputs!$B$16,"Watch","Fresh")))))</f>
        <v/>
      </c>
      <c r="M295" s="5" t="str">
        <f t="shared" si="22"/>
        <v/>
      </c>
      <c r="N295" s="12" t="str">
        <f t="shared" si="23"/>
        <v/>
      </c>
      <c r="O295" s="36" t="str">
        <f t="shared" si="24"/>
        <v/>
      </c>
    </row>
    <row r="296" spans="1:15" x14ac:dyDescent="0.25">
      <c r="A296" s="34"/>
      <c r="B296" s="33"/>
      <c r="C296" s="34"/>
      <c r="D296" s="34"/>
      <c r="E296" s="34"/>
      <c r="F296" s="34"/>
      <c r="G296" s="35"/>
      <c r="H296" s="34"/>
      <c r="I296" s="5" t="str">
        <f t="shared" si="20"/>
        <v/>
      </c>
      <c r="J296" s="12" t="str">
        <f t="shared" si="21"/>
        <v/>
      </c>
      <c r="K296" s="37" t="str">
        <f>IF(A296="","",Inputs!$B$11-B296)</f>
        <v/>
      </c>
      <c r="L296" s="5" t="str">
        <f>IF(A296="","",IF(I296&lt;=0,"Sold out",IF(K296&gt;=Inputs!$B$18,"Dead",IF(K296&gt;=Inputs!$B$17,"Ageing",IF(K296&gt;=Inputs!$B$16,"Watch","Fresh")))))</f>
        <v/>
      </c>
      <c r="M296" s="5" t="str">
        <f t="shared" si="22"/>
        <v/>
      </c>
      <c r="N296" s="12" t="str">
        <f t="shared" si="23"/>
        <v/>
      </c>
      <c r="O296" s="36" t="str">
        <f t="shared" si="24"/>
        <v/>
      </c>
    </row>
    <row r="297" spans="1:15" x14ac:dyDescent="0.25">
      <c r="A297" s="34"/>
      <c r="B297" s="33"/>
      <c r="C297" s="34"/>
      <c r="D297" s="34"/>
      <c r="E297" s="34"/>
      <c r="F297" s="34"/>
      <c r="G297" s="35"/>
      <c r="H297" s="34"/>
      <c r="I297" s="5" t="str">
        <f t="shared" si="20"/>
        <v/>
      </c>
      <c r="J297" s="12" t="str">
        <f t="shared" si="21"/>
        <v/>
      </c>
      <c r="K297" s="37" t="str">
        <f>IF(A297="","",Inputs!$B$11-B297)</f>
        <v/>
      </c>
      <c r="L297" s="5" t="str">
        <f>IF(A297="","",IF(I297&lt;=0,"Sold out",IF(K297&gt;=Inputs!$B$18,"Dead",IF(K297&gt;=Inputs!$B$17,"Ageing",IF(K297&gt;=Inputs!$B$16,"Watch","Fresh")))))</f>
        <v/>
      </c>
      <c r="M297" s="5" t="str">
        <f t="shared" si="22"/>
        <v/>
      </c>
      <c r="N297" s="12" t="str">
        <f t="shared" si="23"/>
        <v/>
      </c>
      <c r="O297" s="36" t="str">
        <f t="shared" si="24"/>
        <v/>
      </c>
    </row>
    <row r="298" spans="1:15" x14ac:dyDescent="0.25">
      <c r="A298" s="34"/>
      <c r="B298" s="33"/>
      <c r="C298" s="34"/>
      <c r="D298" s="34"/>
      <c r="E298" s="34"/>
      <c r="F298" s="34"/>
      <c r="G298" s="35"/>
      <c r="H298" s="34"/>
      <c r="I298" s="5" t="str">
        <f t="shared" si="20"/>
        <v/>
      </c>
      <c r="J298" s="12" t="str">
        <f t="shared" si="21"/>
        <v/>
      </c>
      <c r="K298" s="37" t="str">
        <f>IF(A298="","",Inputs!$B$11-B298)</f>
        <v/>
      </c>
      <c r="L298" s="5" t="str">
        <f>IF(A298="","",IF(I298&lt;=0,"Sold out",IF(K298&gt;=Inputs!$B$18,"Dead",IF(K298&gt;=Inputs!$B$17,"Ageing",IF(K298&gt;=Inputs!$B$16,"Watch","Fresh")))))</f>
        <v/>
      </c>
      <c r="M298" s="5" t="str">
        <f t="shared" si="22"/>
        <v/>
      </c>
      <c r="N298" s="12" t="str">
        <f t="shared" si="23"/>
        <v/>
      </c>
      <c r="O298" s="36" t="str">
        <f t="shared" si="24"/>
        <v/>
      </c>
    </row>
    <row r="299" spans="1:15" x14ac:dyDescent="0.25">
      <c r="A299" s="34"/>
      <c r="B299" s="33"/>
      <c r="C299" s="34"/>
      <c r="D299" s="34"/>
      <c r="E299" s="34"/>
      <c r="F299" s="34"/>
      <c r="G299" s="35"/>
      <c r="H299" s="34"/>
      <c r="I299" s="5" t="str">
        <f t="shared" si="20"/>
        <v/>
      </c>
      <c r="J299" s="12" t="str">
        <f t="shared" si="21"/>
        <v/>
      </c>
      <c r="K299" s="37" t="str">
        <f>IF(A299="","",Inputs!$B$11-B299)</f>
        <v/>
      </c>
      <c r="L299" s="5" t="str">
        <f>IF(A299="","",IF(I299&lt;=0,"Sold out",IF(K299&gt;=Inputs!$B$18,"Dead",IF(K299&gt;=Inputs!$B$17,"Ageing",IF(K299&gt;=Inputs!$B$16,"Watch","Fresh")))))</f>
        <v/>
      </c>
      <c r="M299" s="5" t="str">
        <f t="shared" si="22"/>
        <v/>
      </c>
      <c r="N299" s="12" t="str">
        <f t="shared" si="23"/>
        <v/>
      </c>
      <c r="O299" s="36" t="str">
        <f t="shared" si="24"/>
        <v/>
      </c>
    </row>
    <row r="300" spans="1:15" x14ac:dyDescent="0.25">
      <c r="A300" s="34"/>
      <c r="B300" s="33"/>
      <c r="C300" s="34"/>
      <c r="D300" s="34"/>
      <c r="E300" s="34"/>
      <c r="F300" s="34"/>
      <c r="G300" s="35"/>
      <c r="H300" s="34"/>
      <c r="I300" s="5" t="str">
        <f t="shared" si="20"/>
        <v/>
      </c>
      <c r="J300" s="12" t="str">
        <f t="shared" si="21"/>
        <v/>
      </c>
      <c r="K300" s="37" t="str">
        <f>IF(A300="","",Inputs!$B$11-B300)</f>
        <v/>
      </c>
      <c r="L300" s="5" t="str">
        <f>IF(A300="","",IF(I300&lt;=0,"Sold out",IF(K300&gt;=Inputs!$B$18,"Dead",IF(K300&gt;=Inputs!$B$17,"Ageing",IF(K300&gt;=Inputs!$B$16,"Watch","Fresh")))))</f>
        <v/>
      </c>
      <c r="M300" s="5" t="str">
        <f t="shared" si="22"/>
        <v/>
      </c>
      <c r="N300" s="12" t="str">
        <f t="shared" si="23"/>
        <v/>
      </c>
      <c r="O300" s="36" t="str">
        <f t="shared" si="24"/>
        <v/>
      </c>
    </row>
    <row r="301" spans="1:15" x14ac:dyDescent="0.25">
      <c r="A301" s="34"/>
      <c r="B301" s="33"/>
      <c r="C301" s="34"/>
      <c r="D301" s="34"/>
      <c r="E301" s="34"/>
      <c r="F301" s="34"/>
      <c r="G301" s="35"/>
      <c r="H301" s="34"/>
      <c r="I301" s="5" t="str">
        <f t="shared" si="20"/>
        <v/>
      </c>
      <c r="J301" s="12" t="str">
        <f t="shared" si="21"/>
        <v/>
      </c>
      <c r="K301" s="37" t="str">
        <f>IF(A301="","",Inputs!$B$11-B301)</f>
        <v/>
      </c>
      <c r="L301" s="5" t="str">
        <f>IF(A301="","",IF(I301&lt;=0,"Sold out",IF(K301&gt;=Inputs!$B$18,"Dead",IF(K301&gt;=Inputs!$B$17,"Ageing",IF(K301&gt;=Inputs!$B$16,"Watch","Fresh")))))</f>
        <v/>
      </c>
      <c r="M301" s="5" t="str">
        <f t="shared" si="22"/>
        <v/>
      </c>
      <c r="N301" s="12" t="str">
        <f t="shared" si="23"/>
        <v/>
      </c>
      <c r="O301" s="36" t="str">
        <f t="shared" si="24"/>
        <v/>
      </c>
    </row>
    <row r="302" spans="1:15" x14ac:dyDescent="0.25">
      <c r="A302" s="34"/>
      <c r="B302" s="33"/>
      <c r="C302" s="34"/>
      <c r="D302" s="34"/>
      <c r="E302" s="34"/>
      <c r="F302" s="34"/>
      <c r="G302" s="35"/>
      <c r="H302" s="34"/>
      <c r="I302" s="5" t="str">
        <f t="shared" si="20"/>
        <v/>
      </c>
      <c r="J302" s="12" t="str">
        <f t="shared" si="21"/>
        <v/>
      </c>
      <c r="K302" s="37" t="str">
        <f>IF(A302="","",Inputs!$B$11-B302)</f>
        <v/>
      </c>
      <c r="L302" s="5" t="str">
        <f>IF(A302="","",IF(I302&lt;=0,"Sold out",IF(K302&gt;=Inputs!$B$18,"Dead",IF(K302&gt;=Inputs!$B$17,"Ageing",IF(K302&gt;=Inputs!$B$16,"Watch","Fresh")))))</f>
        <v/>
      </c>
      <c r="M302" s="5" t="str">
        <f t="shared" si="22"/>
        <v/>
      </c>
      <c r="N302" s="12" t="str">
        <f t="shared" si="23"/>
        <v/>
      </c>
      <c r="O302" s="36" t="str">
        <f t="shared" si="24"/>
        <v/>
      </c>
    </row>
    <row r="303" spans="1:15" x14ac:dyDescent="0.25">
      <c r="A303" s="34"/>
      <c r="B303" s="33"/>
      <c r="C303" s="34"/>
      <c r="D303" s="34"/>
      <c r="E303" s="34"/>
      <c r="F303" s="34"/>
      <c r="G303" s="35"/>
      <c r="H303" s="34"/>
      <c r="I303" s="5" t="str">
        <f t="shared" si="20"/>
        <v/>
      </c>
      <c r="J303" s="12" t="str">
        <f t="shared" si="21"/>
        <v/>
      </c>
      <c r="K303" s="37" t="str">
        <f>IF(A303="","",Inputs!$B$11-B303)</f>
        <v/>
      </c>
      <c r="L303" s="5" t="str">
        <f>IF(A303="","",IF(I303&lt;=0,"Sold out",IF(K303&gt;=Inputs!$B$18,"Dead",IF(K303&gt;=Inputs!$B$17,"Ageing",IF(K303&gt;=Inputs!$B$16,"Watch","Fresh")))))</f>
        <v/>
      </c>
      <c r="M303" s="5" t="str">
        <f t="shared" si="22"/>
        <v/>
      </c>
      <c r="N303" s="12" t="str">
        <f t="shared" si="23"/>
        <v/>
      </c>
      <c r="O303" s="36" t="str">
        <f t="shared" si="24"/>
        <v/>
      </c>
    </row>
    <row r="304" spans="1:15" x14ac:dyDescent="0.25">
      <c r="A304" s="34"/>
      <c r="B304" s="33"/>
      <c r="C304" s="34"/>
      <c r="D304" s="34"/>
      <c r="E304" s="34"/>
      <c r="F304" s="34"/>
      <c r="G304" s="35"/>
      <c r="H304" s="34"/>
      <c r="I304" s="5" t="str">
        <f t="shared" si="20"/>
        <v/>
      </c>
      <c r="J304" s="12" t="str">
        <f t="shared" si="21"/>
        <v/>
      </c>
      <c r="K304" s="37" t="str">
        <f>IF(A304="","",Inputs!$B$11-B304)</f>
        <v/>
      </c>
      <c r="L304" s="5" t="str">
        <f>IF(A304="","",IF(I304&lt;=0,"Sold out",IF(K304&gt;=Inputs!$B$18,"Dead",IF(K304&gt;=Inputs!$B$17,"Ageing",IF(K304&gt;=Inputs!$B$16,"Watch","Fresh")))))</f>
        <v/>
      </c>
      <c r="M304" s="5" t="str">
        <f t="shared" si="22"/>
        <v/>
      </c>
      <c r="N304" s="12" t="str">
        <f t="shared" si="23"/>
        <v/>
      </c>
      <c r="O304" s="36" t="str">
        <f t="shared" si="24"/>
        <v/>
      </c>
    </row>
    <row r="305" spans="1:15" x14ac:dyDescent="0.25">
      <c r="A305" s="34"/>
      <c r="B305" s="33"/>
      <c r="C305" s="34"/>
      <c r="D305" s="34"/>
      <c r="E305" s="34"/>
      <c r="F305" s="34"/>
      <c r="G305" s="35"/>
      <c r="H305" s="34"/>
      <c r="I305" s="5" t="str">
        <f t="shared" si="20"/>
        <v/>
      </c>
      <c r="J305" s="12" t="str">
        <f t="shared" si="21"/>
        <v/>
      </c>
      <c r="K305" s="37" t="str">
        <f>IF(A305="","",Inputs!$B$11-B305)</f>
        <v/>
      </c>
      <c r="L305" s="5" t="str">
        <f>IF(A305="","",IF(I305&lt;=0,"Sold out",IF(K305&gt;=Inputs!$B$18,"Dead",IF(K305&gt;=Inputs!$B$17,"Ageing",IF(K305&gt;=Inputs!$B$16,"Watch","Fresh")))))</f>
        <v/>
      </c>
      <c r="M305" s="5" t="str">
        <f t="shared" si="22"/>
        <v/>
      </c>
      <c r="N305" s="12" t="str">
        <f t="shared" si="23"/>
        <v/>
      </c>
      <c r="O305" s="36" t="str">
        <f t="shared" si="24"/>
        <v/>
      </c>
    </row>
    <row r="306" spans="1:15" x14ac:dyDescent="0.25">
      <c r="A306" s="34"/>
      <c r="B306" s="33"/>
      <c r="C306" s="34"/>
      <c r="D306" s="34"/>
      <c r="E306" s="34"/>
      <c r="F306" s="34"/>
      <c r="G306" s="35"/>
      <c r="H306" s="34"/>
      <c r="I306" s="5" t="str">
        <f t="shared" si="20"/>
        <v/>
      </c>
      <c r="J306" s="12" t="str">
        <f t="shared" si="21"/>
        <v/>
      </c>
      <c r="K306" s="37" t="str">
        <f>IF(A306="","",Inputs!$B$11-B306)</f>
        <v/>
      </c>
      <c r="L306" s="5" t="str">
        <f>IF(A306="","",IF(I306&lt;=0,"Sold out",IF(K306&gt;=Inputs!$B$18,"Dead",IF(K306&gt;=Inputs!$B$17,"Ageing",IF(K306&gt;=Inputs!$B$16,"Watch","Fresh")))))</f>
        <v/>
      </c>
      <c r="M306" s="5" t="str">
        <f t="shared" si="22"/>
        <v/>
      </c>
      <c r="N306" s="12" t="str">
        <f t="shared" si="23"/>
        <v/>
      </c>
      <c r="O306" s="36" t="str">
        <f t="shared" si="24"/>
        <v/>
      </c>
    </row>
    <row r="307" spans="1:15" x14ac:dyDescent="0.25">
      <c r="A307" s="34"/>
      <c r="B307" s="33"/>
      <c r="C307" s="34"/>
      <c r="D307" s="34"/>
      <c r="E307" s="34"/>
      <c r="F307" s="34"/>
      <c r="G307" s="35"/>
      <c r="H307" s="34"/>
      <c r="I307" s="5" t="str">
        <f t="shared" si="20"/>
        <v/>
      </c>
      <c r="J307" s="12" t="str">
        <f t="shared" si="21"/>
        <v/>
      </c>
      <c r="K307" s="37" t="str">
        <f>IF(A307="","",Inputs!$B$11-B307)</f>
        <v/>
      </c>
      <c r="L307" s="5" t="str">
        <f>IF(A307="","",IF(I307&lt;=0,"Sold out",IF(K307&gt;=Inputs!$B$18,"Dead",IF(K307&gt;=Inputs!$B$17,"Ageing",IF(K307&gt;=Inputs!$B$16,"Watch","Fresh")))))</f>
        <v/>
      </c>
      <c r="M307" s="5" t="str">
        <f t="shared" si="22"/>
        <v/>
      </c>
      <c r="N307" s="12" t="str">
        <f t="shared" si="23"/>
        <v/>
      </c>
      <c r="O307" s="36" t="str">
        <f t="shared" si="24"/>
        <v/>
      </c>
    </row>
    <row r="308" spans="1:15" x14ac:dyDescent="0.25">
      <c r="A308" s="34"/>
      <c r="B308" s="33"/>
      <c r="C308" s="34"/>
      <c r="D308" s="34"/>
      <c r="E308" s="34"/>
      <c r="F308" s="34"/>
      <c r="G308" s="35"/>
      <c r="H308" s="34"/>
      <c r="I308" s="5" t="str">
        <f t="shared" si="20"/>
        <v/>
      </c>
      <c r="J308" s="12" t="str">
        <f t="shared" si="21"/>
        <v/>
      </c>
      <c r="K308" s="37" t="str">
        <f>IF(A308="","",Inputs!$B$11-B308)</f>
        <v/>
      </c>
      <c r="L308" s="5" t="str">
        <f>IF(A308="","",IF(I308&lt;=0,"Sold out",IF(K308&gt;=Inputs!$B$18,"Dead",IF(K308&gt;=Inputs!$B$17,"Ageing",IF(K308&gt;=Inputs!$B$16,"Watch","Fresh")))))</f>
        <v/>
      </c>
      <c r="M308" s="5" t="str">
        <f t="shared" si="22"/>
        <v/>
      </c>
      <c r="N308" s="12" t="str">
        <f t="shared" si="23"/>
        <v/>
      </c>
      <c r="O308" s="36" t="str">
        <f t="shared" si="24"/>
        <v/>
      </c>
    </row>
    <row r="309" spans="1:15" x14ac:dyDescent="0.25">
      <c r="A309" s="34"/>
      <c r="B309" s="33"/>
      <c r="C309" s="34"/>
      <c r="D309" s="34"/>
      <c r="E309" s="34"/>
      <c r="F309" s="34"/>
      <c r="G309" s="35"/>
      <c r="H309" s="34"/>
      <c r="I309" s="5" t="str">
        <f t="shared" si="20"/>
        <v/>
      </c>
      <c r="J309" s="12" t="str">
        <f t="shared" si="21"/>
        <v/>
      </c>
      <c r="K309" s="37" t="str">
        <f>IF(A309="","",Inputs!$B$11-B309)</f>
        <v/>
      </c>
      <c r="L309" s="5" t="str">
        <f>IF(A309="","",IF(I309&lt;=0,"Sold out",IF(K309&gt;=Inputs!$B$18,"Dead",IF(K309&gt;=Inputs!$B$17,"Ageing",IF(K309&gt;=Inputs!$B$16,"Watch","Fresh")))))</f>
        <v/>
      </c>
      <c r="M309" s="5" t="str">
        <f t="shared" si="22"/>
        <v/>
      </c>
      <c r="N309" s="12" t="str">
        <f t="shared" si="23"/>
        <v/>
      </c>
      <c r="O309" s="36" t="str">
        <f t="shared" si="24"/>
        <v/>
      </c>
    </row>
    <row r="310" spans="1:15" x14ac:dyDescent="0.25">
      <c r="A310" s="34"/>
      <c r="B310" s="33"/>
      <c r="C310" s="34"/>
      <c r="D310" s="34"/>
      <c r="E310" s="34"/>
      <c r="F310" s="34"/>
      <c r="G310" s="35"/>
      <c r="H310" s="34"/>
      <c r="I310" s="5" t="str">
        <f t="shared" si="20"/>
        <v/>
      </c>
      <c r="J310" s="12" t="str">
        <f t="shared" si="21"/>
        <v/>
      </c>
      <c r="K310" s="37" t="str">
        <f>IF(A310="","",Inputs!$B$11-B310)</f>
        <v/>
      </c>
      <c r="L310" s="5" t="str">
        <f>IF(A310="","",IF(I310&lt;=0,"Sold out",IF(K310&gt;=Inputs!$B$18,"Dead",IF(K310&gt;=Inputs!$B$17,"Ageing",IF(K310&gt;=Inputs!$B$16,"Watch","Fresh")))))</f>
        <v/>
      </c>
      <c r="M310" s="5" t="str">
        <f t="shared" si="22"/>
        <v/>
      </c>
      <c r="N310" s="12" t="str">
        <f t="shared" si="23"/>
        <v/>
      </c>
      <c r="O310" s="36" t="str">
        <f t="shared" si="24"/>
        <v/>
      </c>
    </row>
    <row r="311" spans="1:15" x14ac:dyDescent="0.25">
      <c r="A311" s="34"/>
      <c r="B311" s="33"/>
      <c r="C311" s="34"/>
      <c r="D311" s="34"/>
      <c r="E311" s="34"/>
      <c r="F311" s="34"/>
      <c r="G311" s="35"/>
      <c r="H311" s="34"/>
      <c r="I311" s="5" t="str">
        <f t="shared" si="20"/>
        <v/>
      </c>
      <c r="J311" s="12" t="str">
        <f t="shared" si="21"/>
        <v/>
      </c>
      <c r="K311" s="37" t="str">
        <f>IF(A311="","",Inputs!$B$11-B311)</f>
        <v/>
      </c>
      <c r="L311" s="5" t="str">
        <f>IF(A311="","",IF(I311&lt;=0,"Sold out",IF(K311&gt;=Inputs!$B$18,"Dead",IF(K311&gt;=Inputs!$B$17,"Ageing",IF(K311&gt;=Inputs!$B$16,"Watch","Fresh")))))</f>
        <v/>
      </c>
      <c r="M311" s="5" t="str">
        <f t="shared" si="22"/>
        <v/>
      </c>
      <c r="N311" s="12" t="str">
        <f t="shared" si="23"/>
        <v/>
      </c>
      <c r="O311" s="36" t="str">
        <f t="shared" si="24"/>
        <v/>
      </c>
    </row>
    <row r="312" spans="1:15" x14ac:dyDescent="0.25">
      <c r="A312" s="34"/>
      <c r="B312" s="33"/>
      <c r="C312" s="34"/>
      <c r="D312" s="34"/>
      <c r="E312" s="34"/>
      <c r="F312" s="34"/>
      <c r="G312" s="35"/>
      <c r="H312" s="34"/>
      <c r="I312" s="5" t="str">
        <f t="shared" si="20"/>
        <v/>
      </c>
      <c r="J312" s="12" t="str">
        <f t="shared" si="21"/>
        <v/>
      </c>
      <c r="K312" s="37" t="str">
        <f>IF(A312="","",Inputs!$B$11-B312)</f>
        <v/>
      </c>
      <c r="L312" s="5" t="str">
        <f>IF(A312="","",IF(I312&lt;=0,"Sold out",IF(K312&gt;=Inputs!$B$18,"Dead",IF(K312&gt;=Inputs!$B$17,"Ageing",IF(K312&gt;=Inputs!$B$16,"Watch","Fresh")))))</f>
        <v/>
      </c>
      <c r="M312" s="5" t="str">
        <f t="shared" si="22"/>
        <v/>
      </c>
      <c r="N312" s="12" t="str">
        <f t="shared" si="23"/>
        <v/>
      </c>
      <c r="O312" s="36" t="str">
        <f t="shared" si="24"/>
        <v/>
      </c>
    </row>
    <row r="313" spans="1:15" x14ac:dyDescent="0.25">
      <c r="A313" s="34"/>
      <c r="B313" s="33"/>
      <c r="C313" s="34"/>
      <c r="D313" s="34"/>
      <c r="E313" s="34"/>
      <c r="F313" s="34"/>
      <c r="G313" s="35"/>
      <c r="H313" s="34"/>
      <c r="I313" s="5" t="str">
        <f t="shared" si="20"/>
        <v/>
      </c>
      <c r="J313" s="12" t="str">
        <f t="shared" si="21"/>
        <v/>
      </c>
      <c r="K313" s="37" t="str">
        <f>IF(A313="","",Inputs!$B$11-B313)</f>
        <v/>
      </c>
      <c r="L313" s="5" t="str">
        <f>IF(A313="","",IF(I313&lt;=0,"Sold out",IF(K313&gt;=Inputs!$B$18,"Dead",IF(K313&gt;=Inputs!$B$17,"Ageing",IF(K313&gt;=Inputs!$B$16,"Watch","Fresh")))))</f>
        <v/>
      </c>
      <c r="M313" s="5" t="str">
        <f t="shared" si="22"/>
        <v/>
      </c>
      <c r="N313" s="12" t="str">
        <f t="shared" si="23"/>
        <v/>
      </c>
      <c r="O313" s="36" t="str">
        <f t="shared" si="24"/>
        <v/>
      </c>
    </row>
    <row r="314" spans="1:15" x14ac:dyDescent="0.25">
      <c r="A314" s="34"/>
      <c r="B314" s="33"/>
      <c r="C314" s="34"/>
      <c r="D314" s="34"/>
      <c r="E314" s="34"/>
      <c r="F314" s="34"/>
      <c r="G314" s="35"/>
      <c r="H314" s="34"/>
      <c r="I314" s="5" t="str">
        <f t="shared" si="20"/>
        <v/>
      </c>
      <c r="J314" s="12" t="str">
        <f t="shared" si="21"/>
        <v/>
      </c>
      <c r="K314" s="37" t="str">
        <f>IF(A314="","",Inputs!$B$11-B314)</f>
        <v/>
      </c>
      <c r="L314" s="5" t="str">
        <f>IF(A314="","",IF(I314&lt;=0,"Sold out",IF(K314&gt;=Inputs!$B$18,"Dead",IF(K314&gt;=Inputs!$B$17,"Ageing",IF(K314&gt;=Inputs!$B$16,"Watch","Fresh")))))</f>
        <v/>
      </c>
      <c r="M314" s="5" t="str">
        <f t="shared" si="22"/>
        <v/>
      </c>
      <c r="N314" s="12" t="str">
        <f t="shared" si="23"/>
        <v/>
      </c>
      <c r="O314" s="36" t="str">
        <f t="shared" si="24"/>
        <v/>
      </c>
    </row>
    <row r="315" spans="1:15" x14ac:dyDescent="0.25">
      <c r="A315" s="34"/>
      <c r="B315" s="33"/>
      <c r="C315" s="34"/>
      <c r="D315" s="34"/>
      <c r="E315" s="34"/>
      <c r="F315" s="34"/>
      <c r="G315" s="35"/>
      <c r="H315" s="34"/>
      <c r="I315" s="5" t="str">
        <f t="shared" si="20"/>
        <v/>
      </c>
      <c r="J315" s="12" t="str">
        <f t="shared" si="21"/>
        <v/>
      </c>
      <c r="K315" s="37" t="str">
        <f>IF(A315="","",Inputs!$B$11-B315)</f>
        <v/>
      </c>
      <c r="L315" s="5" t="str">
        <f>IF(A315="","",IF(I315&lt;=0,"Sold out",IF(K315&gt;=Inputs!$B$18,"Dead",IF(K315&gt;=Inputs!$B$17,"Ageing",IF(K315&gt;=Inputs!$B$16,"Watch","Fresh")))))</f>
        <v/>
      </c>
      <c r="M315" s="5" t="str">
        <f t="shared" si="22"/>
        <v/>
      </c>
      <c r="N315" s="12" t="str">
        <f t="shared" si="23"/>
        <v/>
      </c>
      <c r="O315" s="36" t="str">
        <f t="shared" si="24"/>
        <v/>
      </c>
    </row>
    <row r="316" spans="1:15" x14ac:dyDescent="0.25">
      <c r="A316" s="34"/>
      <c r="B316" s="33"/>
      <c r="C316" s="34"/>
      <c r="D316" s="34"/>
      <c r="E316" s="34"/>
      <c r="F316" s="34"/>
      <c r="G316" s="35"/>
      <c r="H316" s="34"/>
      <c r="I316" s="5" t="str">
        <f t="shared" si="20"/>
        <v/>
      </c>
      <c r="J316" s="12" t="str">
        <f t="shared" si="21"/>
        <v/>
      </c>
      <c r="K316" s="37" t="str">
        <f>IF(A316="","",Inputs!$B$11-B316)</f>
        <v/>
      </c>
      <c r="L316" s="5" t="str">
        <f>IF(A316="","",IF(I316&lt;=0,"Sold out",IF(K316&gt;=Inputs!$B$18,"Dead",IF(K316&gt;=Inputs!$B$17,"Ageing",IF(K316&gt;=Inputs!$B$16,"Watch","Fresh")))))</f>
        <v/>
      </c>
      <c r="M316" s="5" t="str">
        <f t="shared" si="22"/>
        <v/>
      </c>
      <c r="N316" s="12" t="str">
        <f t="shared" si="23"/>
        <v/>
      </c>
      <c r="O316" s="36" t="str">
        <f t="shared" si="24"/>
        <v/>
      </c>
    </row>
    <row r="317" spans="1:15" x14ac:dyDescent="0.25">
      <c r="A317" s="34"/>
      <c r="B317" s="33"/>
      <c r="C317" s="34"/>
      <c r="D317" s="34"/>
      <c r="E317" s="34"/>
      <c r="F317" s="34"/>
      <c r="G317" s="35"/>
      <c r="H317" s="34"/>
      <c r="I317" s="5" t="str">
        <f t="shared" si="20"/>
        <v/>
      </c>
      <c r="J317" s="12" t="str">
        <f t="shared" si="21"/>
        <v/>
      </c>
      <c r="K317" s="37" t="str">
        <f>IF(A317="","",Inputs!$B$11-B317)</f>
        <v/>
      </c>
      <c r="L317" s="5" t="str">
        <f>IF(A317="","",IF(I317&lt;=0,"Sold out",IF(K317&gt;=Inputs!$B$18,"Dead",IF(K317&gt;=Inputs!$B$17,"Ageing",IF(K317&gt;=Inputs!$B$16,"Watch","Fresh")))))</f>
        <v/>
      </c>
      <c r="M317" s="5" t="str">
        <f t="shared" si="22"/>
        <v/>
      </c>
      <c r="N317" s="12" t="str">
        <f t="shared" si="23"/>
        <v/>
      </c>
      <c r="O317" s="36" t="str">
        <f t="shared" si="24"/>
        <v/>
      </c>
    </row>
    <row r="318" spans="1:15" x14ac:dyDescent="0.25">
      <c r="A318" s="34"/>
      <c r="B318" s="33"/>
      <c r="C318" s="34"/>
      <c r="D318" s="34"/>
      <c r="E318" s="34"/>
      <c r="F318" s="34"/>
      <c r="G318" s="35"/>
      <c r="H318" s="34"/>
      <c r="I318" s="5" t="str">
        <f t="shared" si="20"/>
        <v/>
      </c>
      <c r="J318" s="12" t="str">
        <f t="shared" si="21"/>
        <v/>
      </c>
      <c r="K318" s="37" t="str">
        <f>IF(A318="","",Inputs!$B$11-B318)</f>
        <v/>
      </c>
      <c r="L318" s="5" t="str">
        <f>IF(A318="","",IF(I318&lt;=0,"Sold out",IF(K318&gt;=Inputs!$B$18,"Dead",IF(K318&gt;=Inputs!$B$17,"Ageing",IF(K318&gt;=Inputs!$B$16,"Watch","Fresh")))))</f>
        <v/>
      </c>
      <c r="M318" s="5" t="str">
        <f t="shared" si="22"/>
        <v/>
      </c>
      <c r="N318" s="12" t="str">
        <f t="shared" si="23"/>
        <v/>
      </c>
      <c r="O318" s="36" t="str">
        <f t="shared" si="24"/>
        <v/>
      </c>
    </row>
    <row r="319" spans="1:15" x14ac:dyDescent="0.25">
      <c r="A319" s="34"/>
      <c r="B319" s="33"/>
      <c r="C319" s="34"/>
      <c r="D319" s="34"/>
      <c r="E319" s="34"/>
      <c r="F319" s="34"/>
      <c r="G319" s="35"/>
      <c r="H319" s="34"/>
      <c r="I319" s="5" t="str">
        <f t="shared" si="20"/>
        <v/>
      </c>
      <c r="J319" s="12" t="str">
        <f t="shared" si="21"/>
        <v/>
      </c>
      <c r="K319" s="37" t="str">
        <f>IF(A319="","",Inputs!$B$11-B319)</f>
        <v/>
      </c>
      <c r="L319" s="5" t="str">
        <f>IF(A319="","",IF(I319&lt;=0,"Sold out",IF(K319&gt;=Inputs!$B$18,"Dead",IF(K319&gt;=Inputs!$B$17,"Ageing",IF(K319&gt;=Inputs!$B$16,"Watch","Fresh")))))</f>
        <v/>
      </c>
      <c r="M319" s="5" t="str">
        <f t="shared" si="22"/>
        <v/>
      </c>
      <c r="N319" s="12" t="str">
        <f t="shared" si="23"/>
        <v/>
      </c>
      <c r="O319" s="36" t="str">
        <f t="shared" si="24"/>
        <v/>
      </c>
    </row>
    <row r="320" spans="1:15" x14ac:dyDescent="0.25">
      <c r="A320" s="34"/>
      <c r="B320" s="33"/>
      <c r="C320" s="34"/>
      <c r="D320" s="34"/>
      <c r="E320" s="34"/>
      <c r="F320" s="34"/>
      <c r="G320" s="35"/>
      <c r="H320" s="34"/>
      <c r="I320" s="5" t="str">
        <f t="shared" si="20"/>
        <v/>
      </c>
      <c r="J320" s="12" t="str">
        <f t="shared" si="21"/>
        <v/>
      </c>
      <c r="K320" s="37" t="str">
        <f>IF(A320="","",Inputs!$B$11-B320)</f>
        <v/>
      </c>
      <c r="L320" s="5" t="str">
        <f>IF(A320="","",IF(I320&lt;=0,"Sold out",IF(K320&gt;=Inputs!$B$18,"Dead",IF(K320&gt;=Inputs!$B$17,"Ageing",IF(K320&gt;=Inputs!$B$16,"Watch","Fresh")))))</f>
        <v/>
      </c>
      <c r="M320" s="5" t="str">
        <f t="shared" si="22"/>
        <v/>
      </c>
      <c r="N320" s="12" t="str">
        <f t="shared" si="23"/>
        <v/>
      </c>
      <c r="O320" s="36" t="str">
        <f t="shared" si="24"/>
        <v/>
      </c>
    </row>
    <row r="321" spans="1:15" x14ac:dyDescent="0.25">
      <c r="A321" s="34"/>
      <c r="B321" s="33"/>
      <c r="C321" s="34"/>
      <c r="D321" s="34"/>
      <c r="E321" s="34"/>
      <c r="F321" s="34"/>
      <c r="G321" s="35"/>
      <c r="H321" s="34"/>
      <c r="I321" s="5" t="str">
        <f t="shared" si="20"/>
        <v/>
      </c>
      <c r="J321" s="12" t="str">
        <f t="shared" si="21"/>
        <v/>
      </c>
      <c r="K321" s="37" t="str">
        <f>IF(A321="","",Inputs!$B$11-B321)</f>
        <v/>
      </c>
      <c r="L321" s="5" t="str">
        <f>IF(A321="","",IF(I321&lt;=0,"Sold out",IF(K321&gt;=Inputs!$B$18,"Dead",IF(K321&gt;=Inputs!$B$17,"Ageing",IF(K321&gt;=Inputs!$B$16,"Watch","Fresh")))))</f>
        <v/>
      </c>
      <c r="M321" s="5" t="str">
        <f t="shared" si="22"/>
        <v/>
      </c>
      <c r="N321" s="12" t="str">
        <f t="shared" si="23"/>
        <v/>
      </c>
      <c r="O321" s="36" t="str">
        <f t="shared" si="24"/>
        <v/>
      </c>
    </row>
    <row r="322" spans="1:15" x14ac:dyDescent="0.25">
      <c r="A322" s="34"/>
      <c r="B322" s="33"/>
      <c r="C322" s="34"/>
      <c r="D322" s="34"/>
      <c r="E322" s="34"/>
      <c r="F322" s="34"/>
      <c r="G322" s="35"/>
      <c r="H322" s="34"/>
      <c r="I322" s="5" t="str">
        <f t="shared" si="20"/>
        <v/>
      </c>
      <c r="J322" s="12" t="str">
        <f t="shared" si="21"/>
        <v/>
      </c>
      <c r="K322" s="37" t="str">
        <f>IF(A322="","",Inputs!$B$11-B322)</f>
        <v/>
      </c>
      <c r="L322" s="5" t="str">
        <f>IF(A322="","",IF(I322&lt;=0,"Sold out",IF(K322&gt;=Inputs!$B$18,"Dead",IF(K322&gt;=Inputs!$B$17,"Ageing",IF(K322&gt;=Inputs!$B$16,"Watch","Fresh")))))</f>
        <v/>
      </c>
      <c r="M322" s="5" t="str">
        <f t="shared" si="22"/>
        <v/>
      </c>
      <c r="N322" s="12" t="str">
        <f t="shared" si="23"/>
        <v/>
      </c>
      <c r="O322" s="36" t="str">
        <f t="shared" si="24"/>
        <v/>
      </c>
    </row>
    <row r="323" spans="1:15" x14ac:dyDescent="0.25">
      <c r="A323" s="34"/>
      <c r="B323" s="33"/>
      <c r="C323" s="34"/>
      <c r="D323" s="34"/>
      <c r="E323" s="34"/>
      <c r="F323" s="34"/>
      <c r="G323" s="35"/>
      <c r="H323" s="34"/>
      <c r="I323" s="5" t="str">
        <f t="shared" si="20"/>
        <v/>
      </c>
      <c r="J323" s="12" t="str">
        <f t="shared" si="21"/>
        <v/>
      </c>
      <c r="K323" s="37" t="str">
        <f>IF(A323="","",Inputs!$B$11-B323)</f>
        <v/>
      </c>
      <c r="L323" s="5" t="str">
        <f>IF(A323="","",IF(I323&lt;=0,"Sold out",IF(K323&gt;=Inputs!$B$18,"Dead",IF(K323&gt;=Inputs!$B$17,"Ageing",IF(K323&gt;=Inputs!$B$16,"Watch","Fresh")))))</f>
        <v/>
      </c>
      <c r="M323" s="5" t="str">
        <f t="shared" si="22"/>
        <v/>
      </c>
      <c r="N323" s="12" t="str">
        <f t="shared" si="23"/>
        <v/>
      </c>
      <c r="O323" s="36" t="str">
        <f t="shared" si="24"/>
        <v/>
      </c>
    </row>
    <row r="324" spans="1:15" x14ac:dyDescent="0.25">
      <c r="A324" s="34"/>
      <c r="B324" s="33"/>
      <c r="C324" s="34"/>
      <c r="D324" s="34"/>
      <c r="E324" s="34"/>
      <c r="F324" s="34"/>
      <c r="G324" s="35"/>
      <c r="H324" s="34"/>
      <c r="I324" s="5" t="str">
        <f t="shared" si="20"/>
        <v/>
      </c>
      <c r="J324" s="12" t="str">
        <f t="shared" si="21"/>
        <v/>
      </c>
      <c r="K324" s="37" t="str">
        <f>IF(A324="","",Inputs!$B$11-B324)</f>
        <v/>
      </c>
      <c r="L324" s="5" t="str">
        <f>IF(A324="","",IF(I324&lt;=0,"Sold out",IF(K324&gt;=Inputs!$B$18,"Dead",IF(K324&gt;=Inputs!$B$17,"Ageing",IF(K324&gt;=Inputs!$B$16,"Watch","Fresh")))))</f>
        <v/>
      </c>
      <c r="M324" s="5" t="str">
        <f t="shared" si="22"/>
        <v/>
      </c>
      <c r="N324" s="12" t="str">
        <f t="shared" si="23"/>
        <v/>
      </c>
      <c r="O324" s="36" t="str">
        <f t="shared" si="24"/>
        <v/>
      </c>
    </row>
    <row r="325" spans="1:15" x14ac:dyDescent="0.25">
      <c r="A325" s="34"/>
      <c r="B325" s="33"/>
      <c r="C325" s="34"/>
      <c r="D325" s="34"/>
      <c r="E325" s="34"/>
      <c r="F325" s="34"/>
      <c r="G325" s="35"/>
      <c r="H325" s="34"/>
      <c r="I325" s="5" t="str">
        <f t="shared" si="20"/>
        <v/>
      </c>
      <c r="J325" s="12" t="str">
        <f t="shared" si="21"/>
        <v/>
      </c>
      <c r="K325" s="37" t="str">
        <f>IF(A325="","",Inputs!$B$11-B325)</f>
        <v/>
      </c>
      <c r="L325" s="5" t="str">
        <f>IF(A325="","",IF(I325&lt;=0,"Sold out",IF(K325&gt;=Inputs!$B$18,"Dead",IF(K325&gt;=Inputs!$B$17,"Ageing",IF(K325&gt;=Inputs!$B$16,"Watch","Fresh")))))</f>
        <v/>
      </c>
      <c r="M325" s="5" t="str">
        <f t="shared" si="22"/>
        <v/>
      </c>
      <c r="N325" s="12" t="str">
        <f t="shared" si="23"/>
        <v/>
      </c>
      <c r="O325" s="36" t="str">
        <f t="shared" si="24"/>
        <v/>
      </c>
    </row>
    <row r="326" spans="1:15" x14ac:dyDescent="0.25">
      <c r="A326" s="34"/>
      <c r="B326" s="33"/>
      <c r="C326" s="34"/>
      <c r="D326" s="34"/>
      <c r="E326" s="34"/>
      <c r="F326" s="34"/>
      <c r="G326" s="35"/>
      <c r="H326" s="34"/>
      <c r="I326" s="5" t="str">
        <f t="shared" ref="I326:I389" si="25">IF(A326="","",F326-H326)</f>
        <v/>
      </c>
      <c r="J326" s="12" t="str">
        <f t="shared" ref="J326:J389" si="26">IF(A326="","",I326*G326)</f>
        <v/>
      </c>
      <c r="K326" s="37" t="str">
        <f>IF(A326="","",Inputs!$B$11-B326)</f>
        <v/>
      </c>
      <c r="L326" s="5" t="str">
        <f>IF(A326="","",IF(I326&lt;=0,"Sold out",IF(K326&gt;=Inputs!$B$18,"Dead",IF(K326&gt;=Inputs!$B$17,"Ageing",IF(K326&gt;=Inputs!$B$16,"Watch","Fresh")))))</f>
        <v/>
      </c>
      <c r="M326" s="5" t="str">
        <f t="shared" ref="M326:M389" si="27">IF(L326="","",IF(L326="Dead","Clearance / exchange with vendor",IF(L326="Ageing","Markdown 20-30%",IF(L326="Watch","Push in reels &amp; WhatsApp broadcast",IF(L326="Fresh","OK","-")))))</f>
        <v/>
      </c>
      <c r="N326" s="12" t="str">
        <f t="shared" ref="N326:N389" si="28">IF(A326="","",F326*G326)</f>
        <v/>
      </c>
      <c r="O326" s="36" t="str">
        <f t="shared" ref="O326:O389" si="29">IF(B326="","",DATE(YEAR(B326),MONTH(B326),1))</f>
        <v/>
      </c>
    </row>
    <row r="327" spans="1:15" x14ac:dyDescent="0.25">
      <c r="A327" s="34"/>
      <c r="B327" s="33"/>
      <c r="C327" s="34"/>
      <c r="D327" s="34"/>
      <c r="E327" s="34"/>
      <c r="F327" s="34"/>
      <c r="G327" s="35"/>
      <c r="H327" s="34"/>
      <c r="I327" s="5" t="str">
        <f t="shared" si="25"/>
        <v/>
      </c>
      <c r="J327" s="12" t="str">
        <f t="shared" si="26"/>
        <v/>
      </c>
      <c r="K327" s="37" t="str">
        <f>IF(A327="","",Inputs!$B$11-B327)</f>
        <v/>
      </c>
      <c r="L327" s="5" t="str">
        <f>IF(A327="","",IF(I327&lt;=0,"Sold out",IF(K327&gt;=Inputs!$B$18,"Dead",IF(K327&gt;=Inputs!$B$17,"Ageing",IF(K327&gt;=Inputs!$B$16,"Watch","Fresh")))))</f>
        <v/>
      </c>
      <c r="M327" s="5" t="str">
        <f t="shared" si="27"/>
        <v/>
      </c>
      <c r="N327" s="12" t="str">
        <f t="shared" si="28"/>
        <v/>
      </c>
      <c r="O327" s="36" t="str">
        <f t="shared" si="29"/>
        <v/>
      </c>
    </row>
    <row r="328" spans="1:15" x14ac:dyDescent="0.25">
      <c r="A328" s="34"/>
      <c r="B328" s="33"/>
      <c r="C328" s="34"/>
      <c r="D328" s="34"/>
      <c r="E328" s="34"/>
      <c r="F328" s="34"/>
      <c r="G328" s="35"/>
      <c r="H328" s="34"/>
      <c r="I328" s="5" t="str">
        <f t="shared" si="25"/>
        <v/>
      </c>
      <c r="J328" s="12" t="str">
        <f t="shared" si="26"/>
        <v/>
      </c>
      <c r="K328" s="37" t="str">
        <f>IF(A328="","",Inputs!$B$11-B328)</f>
        <v/>
      </c>
      <c r="L328" s="5" t="str">
        <f>IF(A328="","",IF(I328&lt;=0,"Sold out",IF(K328&gt;=Inputs!$B$18,"Dead",IF(K328&gt;=Inputs!$B$17,"Ageing",IF(K328&gt;=Inputs!$B$16,"Watch","Fresh")))))</f>
        <v/>
      </c>
      <c r="M328" s="5" t="str">
        <f t="shared" si="27"/>
        <v/>
      </c>
      <c r="N328" s="12" t="str">
        <f t="shared" si="28"/>
        <v/>
      </c>
      <c r="O328" s="36" t="str">
        <f t="shared" si="29"/>
        <v/>
      </c>
    </row>
    <row r="329" spans="1:15" x14ac:dyDescent="0.25">
      <c r="A329" s="34"/>
      <c r="B329" s="33"/>
      <c r="C329" s="34"/>
      <c r="D329" s="34"/>
      <c r="E329" s="34"/>
      <c r="F329" s="34"/>
      <c r="G329" s="35"/>
      <c r="H329" s="34"/>
      <c r="I329" s="5" t="str">
        <f t="shared" si="25"/>
        <v/>
      </c>
      <c r="J329" s="12" t="str">
        <f t="shared" si="26"/>
        <v/>
      </c>
      <c r="K329" s="37" t="str">
        <f>IF(A329="","",Inputs!$B$11-B329)</f>
        <v/>
      </c>
      <c r="L329" s="5" t="str">
        <f>IF(A329="","",IF(I329&lt;=0,"Sold out",IF(K329&gt;=Inputs!$B$18,"Dead",IF(K329&gt;=Inputs!$B$17,"Ageing",IF(K329&gt;=Inputs!$B$16,"Watch","Fresh")))))</f>
        <v/>
      </c>
      <c r="M329" s="5" t="str">
        <f t="shared" si="27"/>
        <v/>
      </c>
      <c r="N329" s="12" t="str">
        <f t="shared" si="28"/>
        <v/>
      </c>
      <c r="O329" s="36" t="str">
        <f t="shared" si="29"/>
        <v/>
      </c>
    </row>
    <row r="330" spans="1:15" x14ac:dyDescent="0.25">
      <c r="A330" s="34"/>
      <c r="B330" s="33"/>
      <c r="C330" s="34"/>
      <c r="D330" s="34"/>
      <c r="E330" s="34"/>
      <c r="F330" s="34"/>
      <c r="G330" s="35"/>
      <c r="H330" s="34"/>
      <c r="I330" s="5" t="str">
        <f t="shared" si="25"/>
        <v/>
      </c>
      <c r="J330" s="12" t="str">
        <f t="shared" si="26"/>
        <v/>
      </c>
      <c r="K330" s="37" t="str">
        <f>IF(A330="","",Inputs!$B$11-B330)</f>
        <v/>
      </c>
      <c r="L330" s="5" t="str">
        <f>IF(A330="","",IF(I330&lt;=0,"Sold out",IF(K330&gt;=Inputs!$B$18,"Dead",IF(K330&gt;=Inputs!$B$17,"Ageing",IF(K330&gt;=Inputs!$B$16,"Watch","Fresh")))))</f>
        <v/>
      </c>
      <c r="M330" s="5" t="str">
        <f t="shared" si="27"/>
        <v/>
      </c>
      <c r="N330" s="12" t="str">
        <f t="shared" si="28"/>
        <v/>
      </c>
      <c r="O330" s="36" t="str">
        <f t="shared" si="29"/>
        <v/>
      </c>
    </row>
    <row r="331" spans="1:15" x14ac:dyDescent="0.25">
      <c r="A331" s="34"/>
      <c r="B331" s="33"/>
      <c r="C331" s="34"/>
      <c r="D331" s="34"/>
      <c r="E331" s="34"/>
      <c r="F331" s="34"/>
      <c r="G331" s="35"/>
      <c r="H331" s="34"/>
      <c r="I331" s="5" t="str">
        <f t="shared" si="25"/>
        <v/>
      </c>
      <c r="J331" s="12" t="str">
        <f t="shared" si="26"/>
        <v/>
      </c>
      <c r="K331" s="37" t="str">
        <f>IF(A331="","",Inputs!$B$11-B331)</f>
        <v/>
      </c>
      <c r="L331" s="5" t="str">
        <f>IF(A331="","",IF(I331&lt;=0,"Sold out",IF(K331&gt;=Inputs!$B$18,"Dead",IF(K331&gt;=Inputs!$B$17,"Ageing",IF(K331&gt;=Inputs!$B$16,"Watch","Fresh")))))</f>
        <v/>
      </c>
      <c r="M331" s="5" t="str">
        <f t="shared" si="27"/>
        <v/>
      </c>
      <c r="N331" s="12" t="str">
        <f t="shared" si="28"/>
        <v/>
      </c>
      <c r="O331" s="36" t="str">
        <f t="shared" si="29"/>
        <v/>
      </c>
    </row>
    <row r="332" spans="1:15" x14ac:dyDescent="0.25">
      <c r="A332" s="34"/>
      <c r="B332" s="33"/>
      <c r="C332" s="34"/>
      <c r="D332" s="34"/>
      <c r="E332" s="34"/>
      <c r="F332" s="34"/>
      <c r="G332" s="35"/>
      <c r="H332" s="34"/>
      <c r="I332" s="5" t="str">
        <f t="shared" si="25"/>
        <v/>
      </c>
      <c r="J332" s="12" t="str">
        <f t="shared" si="26"/>
        <v/>
      </c>
      <c r="K332" s="37" t="str">
        <f>IF(A332="","",Inputs!$B$11-B332)</f>
        <v/>
      </c>
      <c r="L332" s="5" t="str">
        <f>IF(A332="","",IF(I332&lt;=0,"Sold out",IF(K332&gt;=Inputs!$B$18,"Dead",IF(K332&gt;=Inputs!$B$17,"Ageing",IF(K332&gt;=Inputs!$B$16,"Watch","Fresh")))))</f>
        <v/>
      </c>
      <c r="M332" s="5" t="str">
        <f t="shared" si="27"/>
        <v/>
      </c>
      <c r="N332" s="12" t="str">
        <f t="shared" si="28"/>
        <v/>
      </c>
      <c r="O332" s="36" t="str">
        <f t="shared" si="29"/>
        <v/>
      </c>
    </row>
    <row r="333" spans="1:15" x14ac:dyDescent="0.25">
      <c r="A333" s="34"/>
      <c r="B333" s="33"/>
      <c r="C333" s="34"/>
      <c r="D333" s="34"/>
      <c r="E333" s="34"/>
      <c r="F333" s="34"/>
      <c r="G333" s="35"/>
      <c r="H333" s="34"/>
      <c r="I333" s="5" t="str">
        <f t="shared" si="25"/>
        <v/>
      </c>
      <c r="J333" s="12" t="str">
        <f t="shared" si="26"/>
        <v/>
      </c>
      <c r="K333" s="37" t="str">
        <f>IF(A333="","",Inputs!$B$11-B333)</f>
        <v/>
      </c>
      <c r="L333" s="5" t="str">
        <f>IF(A333="","",IF(I333&lt;=0,"Sold out",IF(K333&gt;=Inputs!$B$18,"Dead",IF(K333&gt;=Inputs!$B$17,"Ageing",IF(K333&gt;=Inputs!$B$16,"Watch","Fresh")))))</f>
        <v/>
      </c>
      <c r="M333" s="5" t="str">
        <f t="shared" si="27"/>
        <v/>
      </c>
      <c r="N333" s="12" t="str">
        <f t="shared" si="28"/>
        <v/>
      </c>
      <c r="O333" s="36" t="str">
        <f t="shared" si="29"/>
        <v/>
      </c>
    </row>
    <row r="334" spans="1:15" x14ac:dyDescent="0.25">
      <c r="A334" s="34"/>
      <c r="B334" s="33"/>
      <c r="C334" s="34"/>
      <c r="D334" s="34"/>
      <c r="E334" s="34"/>
      <c r="F334" s="34"/>
      <c r="G334" s="35"/>
      <c r="H334" s="34"/>
      <c r="I334" s="5" t="str">
        <f t="shared" si="25"/>
        <v/>
      </c>
      <c r="J334" s="12" t="str">
        <f t="shared" si="26"/>
        <v/>
      </c>
      <c r="K334" s="37" t="str">
        <f>IF(A334="","",Inputs!$B$11-B334)</f>
        <v/>
      </c>
      <c r="L334" s="5" t="str">
        <f>IF(A334="","",IF(I334&lt;=0,"Sold out",IF(K334&gt;=Inputs!$B$18,"Dead",IF(K334&gt;=Inputs!$B$17,"Ageing",IF(K334&gt;=Inputs!$B$16,"Watch","Fresh")))))</f>
        <v/>
      </c>
      <c r="M334" s="5" t="str">
        <f t="shared" si="27"/>
        <v/>
      </c>
      <c r="N334" s="12" t="str">
        <f t="shared" si="28"/>
        <v/>
      </c>
      <c r="O334" s="36" t="str">
        <f t="shared" si="29"/>
        <v/>
      </c>
    </row>
    <row r="335" spans="1:15" x14ac:dyDescent="0.25">
      <c r="A335" s="34"/>
      <c r="B335" s="33"/>
      <c r="C335" s="34"/>
      <c r="D335" s="34"/>
      <c r="E335" s="34"/>
      <c r="F335" s="34"/>
      <c r="G335" s="35"/>
      <c r="H335" s="34"/>
      <c r="I335" s="5" t="str">
        <f t="shared" si="25"/>
        <v/>
      </c>
      <c r="J335" s="12" t="str">
        <f t="shared" si="26"/>
        <v/>
      </c>
      <c r="K335" s="37" t="str">
        <f>IF(A335="","",Inputs!$B$11-B335)</f>
        <v/>
      </c>
      <c r="L335" s="5" t="str">
        <f>IF(A335="","",IF(I335&lt;=0,"Sold out",IF(K335&gt;=Inputs!$B$18,"Dead",IF(K335&gt;=Inputs!$B$17,"Ageing",IF(K335&gt;=Inputs!$B$16,"Watch","Fresh")))))</f>
        <v/>
      </c>
      <c r="M335" s="5" t="str">
        <f t="shared" si="27"/>
        <v/>
      </c>
      <c r="N335" s="12" t="str">
        <f t="shared" si="28"/>
        <v/>
      </c>
      <c r="O335" s="36" t="str">
        <f t="shared" si="29"/>
        <v/>
      </c>
    </row>
    <row r="336" spans="1:15" x14ac:dyDescent="0.25">
      <c r="A336" s="34"/>
      <c r="B336" s="33"/>
      <c r="C336" s="34"/>
      <c r="D336" s="34"/>
      <c r="E336" s="34"/>
      <c r="F336" s="34"/>
      <c r="G336" s="35"/>
      <c r="H336" s="34"/>
      <c r="I336" s="5" t="str">
        <f t="shared" si="25"/>
        <v/>
      </c>
      <c r="J336" s="12" t="str">
        <f t="shared" si="26"/>
        <v/>
      </c>
      <c r="K336" s="37" t="str">
        <f>IF(A336="","",Inputs!$B$11-B336)</f>
        <v/>
      </c>
      <c r="L336" s="5" t="str">
        <f>IF(A336="","",IF(I336&lt;=0,"Sold out",IF(K336&gt;=Inputs!$B$18,"Dead",IF(K336&gt;=Inputs!$B$17,"Ageing",IF(K336&gt;=Inputs!$B$16,"Watch","Fresh")))))</f>
        <v/>
      </c>
      <c r="M336" s="5" t="str">
        <f t="shared" si="27"/>
        <v/>
      </c>
      <c r="N336" s="12" t="str">
        <f t="shared" si="28"/>
        <v/>
      </c>
      <c r="O336" s="36" t="str">
        <f t="shared" si="29"/>
        <v/>
      </c>
    </row>
    <row r="337" spans="1:15" x14ac:dyDescent="0.25">
      <c r="A337" s="34"/>
      <c r="B337" s="33"/>
      <c r="C337" s="34"/>
      <c r="D337" s="34"/>
      <c r="E337" s="34"/>
      <c r="F337" s="34"/>
      <c r="G337" s="35"/>
      <c r="H337" s="34"/>
      <c r="I337" s="5" t="str">
        <f t="shared" si="25"/>
        <v/>
      </c>
      <c r="J337" s="12" t="str">
        <f t="shared" si="26"/>
        <v/>
      </c>
      <c r="K337" s="37" t="str">
        <f>IF(A337="","",Inputs!$B$11-B337)</f>
        <v/>
      </c>
      <c r="L337" s="5" t="str">
        <f>IF(A337="","",IF(I337&lt;=0,"Sold out",IF(K337&gt;=Inputs!$B$18,"Dead",IF(K337&gt;=Inputs!$B$17,"Ageing",IF(K337&gt;=Inputs!$B$16,"Watch","Fresh")))))</f>
        <v/>
      </c>
      <c r="M337" s="5" t="str">
        <f t="shared" si="27"/>
        <v/>
      </c>
      <c r="N337" s="12" t="str">
        <f t="shared" si="28"/>
        <v/>
      </c>
      <c r="O337" s="36" t="str">
        <f t="shared" si="29"/>
        <v/>
      </c>
    </row>
    <row r="338" spans="1:15" x14ac:dyDescent="0.25">
      <c r="A338" s="34"/>
      <c r="B338" s="33"/>
      <c r="C338" s="34"/>
      <c r="D338" s="34"/>
      <c r="E338" s="34"/>
      <c r="F338" s="34"/>
      <c r="G338" s="35"/>
      <c r="H338" s="34"/>
      <c r="I338" s="5" t="str">
        <f t="shared" si="25"/>
        <v/>
      </c>
      <c r="J338" s="12" t="str">
        <f t="shared" si="26"/>
        <v/>
      </c>
      <c r="K338" s="37" t="str">
        <f>IF(A338="","",Inputs!$B$11-B338)</f>
        <v/>
      </c>
      <c r="L338" s="5" t="str">
        <f>IF(A338="","",IF(I338&lt;=0,"Sold out",IF(K338&gt;=Inputs!$B$18,"Dead",IF(K338&gt;=Inputs!$B$17,"Ageing",IF(K338&gt;=Inputs!$B$16,"Watch","Fresh")))))</f>
        <v/>
      </c>
      <c r="M338" s="5" t="str">
        <f t="shared" si="27"/>
        <v/>
      </c>
      <c r="N338" s="12" t="str">
        <f t="shared" si="28"/>
        <v/>
      </c>
      <c r="O338" s="36" t="str">
        <f t="shared" si="29"/>
        <v/>
      </c>
    </row>
    <row r="339" spans="1:15" x14ac:dyDescent="0.25">
      <c r="A339" s="34"/>
      <c r="B339" s="33"/>
      <c r="C339" s="34"/>
      <c r="D339" s="34"/>
      <c r="E339" s="34"/>
      <c r="F339" s="34"/>
      <c r="G339" s="35"/>
      <c r="H339" s="34"/>
      <c r="I339" s="5" t="str">
        <f t="shared" si="25"/>
        <v/>
      </c>
      <c r="J339" s="12" t="str">
        <f t="shared" si="26"/>
        <v/>
      </c>
      <c r="K339" s="37" t="str">
        <f>IF(A339="","",Inputs!$B$11-B339)</f>
        <v/>
      </c>
      <c r="L339" s="5" t="str">
        <f>IF(A339="","",IF(I339&lt;=0,"Sold out",IF(K339&gt;=Inputs!$B$18,"Dead",IF(K339&gt;=Inputs!$B$17,"Ageing",IF(K339&gt;=Inputs!$B$16,"Watch","Fresh")))))</f>
        <v/>
      </c>
      <c r="M339" s="5" t="str">
        <f t="shared" si="27"/>
        <v/>
      </c>
      <c r="N339" s="12" t="str">
        <f t="shared" si="28"/>
        <v/>
      </c>
      <c r="O339" s="36" t="str">
        <f t="shared" si="29"/>
        <v/>
      </c>
    </row>
    <row r="340" spans="1:15" x14ac:dyDescent="0.25">
      <c r="A340" s="34"/>
      <c r="B340" s="33"/>
      <c r="C340" s="34"/>
      <c r="D340" s="34"/>
      <c r="E340" s="34"/>
      <c r="F340" s="34"/>
      <c r="G340" s="35"/>
      <c r="H340" s="34"/>
      <c r="I340" s="5" t="str">
        <f t="shared" si="25"/>
        <v/>
      </c>
      <c r="J340" s="12" t="str">
        <f t="shared" si="26"/>
        <v/>
      </c>
      <c r="K340" s="37" t="str">
        <f>IF(A340="","",Inputs!$B$11-B340)</f>
        <v/>
      </c>
      <c r="L340" s="5" t="str">
        <f>IF(A340="","",IF(I340&lt;=0,"Sold out",IF(K340&gt;=Inputs!$B$18,"Dead",IF(K340&gt;=Inputs!$B$17,"Ageing",IF(K340&gt;=Inputs!$B$16,"Watch","Fresh")))))</f>
        <v/>
      </c>
      <c r="M340" s="5" t="str">
        <f t="shared" si="27"/>
        <v/>
      </c>
      <c r="N340" s="12" t="str">
        <f t="shared" si="28"/>
        <v/>
      </c>
      <c r="O340" s="36" t="str">
        <f t="shared" si="29"/>
        <v/>
      </c>
    </row>
    <row r="341" spans="1:15" x14ac:dyDescent="0.25">
      <c r="A341" s="34"/>
      <c r="B341" s="33"/>
      <c r="C341" s="34"/>
      <c r="D341" s="34"/>
      <c r="E341" s="34"/>
      <c r="F341" s="34"/>
      <c r="G341" s="35"/>
      <c r="H341" s="34"/>
      <c r="I341" s="5" t="str">
        <f t="shared" si="25"/>
        <v/>
      </c>
      <c r="J341" s="12" t="str">
        <f t="shared" si="26"/>
        <v/>
      </c>
      <c r="K341" s="37" t="str">
        <f>IF(A341="","",Inputs!$B$11-B341)</f>
        <v/>
      </c>
      <c r="L341" s="5" t="str">
        <f>IF(A341="","",IF(I341&lt;=0,"Sold out",IF(K341&gt;=Inputs!$B$18,"Dead",IF(K341&gt;=Inputs!$B$17,"Ageing",IF(K341&gt;=Inputs!$B$16,"Watch","Fresh")))))</f>
        <v/>
      </c>
      <c r="M341" s="5" t="str">
        <f t="shared" si="27"/>
        <v/>
      </c>
      <c r="N341" s="12" t="str">
        <f t="shared" si="28"/>
        <v/>
      </c>
      <c r="O341" s="36" t="str">
        <f t="shared" si="29"/>
        <v/>
      </c>
    </row>
    <row r="342" spans="1:15" x14ac:dyDescent="0.25">
      <c r="A342" s="34"/>
      <c r="B342" s="33"/>
      <c r="C342" s="34"/>
      <c r="D342" s="34"/>
      <c r="E342" s="34"/>
      <c r="F342" s="34"/>
      <c r="G342" s="35"/>
      <c r="H342" s="34"/>
      <c r="I342" s="5" t="str">
        <f t="shared" si="25"/>
        <v/>
      </c>
      <c r="J342" s="12" t="str">
        <f t="shared" si="26"/>
        <v/>
      </c>
      <c r="K342" s="37" t="str">
        <f>IF(A342="","",Inputs!$B$11-B342)</f>
        <v/>
      </c>
      <c r="L342" s="5" t="str">
        <f>IF(A342="","",IF(I342&lt;=0,"Sold out",IF(K342&gt;=Inputs!$B$18,"Dead",IF(K342&gt;=Inputs!$B$17,"Ageing",IF(K342&gt;=Inputs!$B$16,"Watch","Fresh")))))</f>
        <v/>
      </c>
      <c r="M342" s="5" t="str">
        <f t="shared" si="27"/>
        <v/>
      </c>
      <c r="N342" s="12" t="str">
        <f t="shared" si="28"/>
        <v/>
      </c>
      <c r="O342" s="36" t="str">
        <f t="shared" si="29"/>
        <v/>
      </c>
    </row>
    <row r="343" spans="1:15" x14ac:dyDescent="0.25">
      <c r="A343" s="34"/>
      <c r="B343" s="33"/>
      <c r="C343" s="34"/>
      <c r="D343" s="34"/>
      <c r="E343" s="34"/>
      <c r="F343" s="34"/>
      <c r="G343" s="35"/>
      <c r="H343" s="34"/>
      <c r="I343" s="5" t="str">
        <f t="shared" si="25"/>
        <v/>
      </c>
      <c r="J343" s="12" t="str">
        <f t="shared" si="26"/>
        <v/>
      </c>
      <c r="K343" s="37" t="str">
        <f>IF(A343="","",Inputs!$B$11-B343)</f>
        <v/>
      </c>
      <c r="L343" s="5" t="str">
        <f>IF(A343="","",IF(I343&lt;=0,"Sold out",IF(K343&gt;=Inputs!$B$18,"Dead",IF(K343&gt;=Inputs!$B$17,"Ageing",IF(K343&gt;=Inputs!$B$16,"Watch","Fresh")))))</f>
        <v/>
      </c>
      <c r="M343" s="5" t="str">
        <f t="shared" si="27"/>
        <v/>
      </c>
      <c r="N343" s="12" t="str">
        <f t="shared" si="28"/>
        <v/>
      </c>
      <c r="O343" s="36" t="str">
        <f t="shared" si="29"/>
        <v/>
      </c>
    </row>
    <row r="344" spans="1:15" x14ac:dyDescent="0.25">
      <c r="A344" s="34"/>
      <c r="B344" s="33"/>
      <c r="C344" s="34"/>
      <c r="D344" s="34"/>
      <c r="E344" s="34"/>
      <c r="F344" s="34"/>
      <c r="G344" s="35"/>
      <c r="H344" s="34"/>
      <c r="I344" s="5" t="str">
        <f t="shared" si="25"/>
        <v/>
      </c>
      <c r="J344" s="12" t="str">
        <f t="shared" si="26"/>
        <v/>
      </c>
      <c r="K344" s="37" t="str">
        <f>IF(A344="","",Inputs!$B$11-B344)</f>
        <v/>
      </c>
      <c r="L344" s="5" t="str">
        <f>IF(A344="","",IF(I344&lt;=0,"Sold out",IF(K344&gt;=Inputs!$B$18,"Dead",IF(K344&gt;=Inputs!$B$17,"Ageing",IF(K344&gt;=Inputs!$B$16,"Watch","Fresh")))))</f>
        <v/>
      </c>
      <c r="M344" s="5" t="str">
        <f t="shared" si="27"/>
        <v/>
      </c>
      <c r="N344" s="12" t="str">
        <f t="shared" si="28"/>
        <v/>
      </c>
      <c r="O344" s="36" t="str">
        <f t="shared" si="29"/>
        <v/>
      </c>
    </row>
    <row r="345" spans="1:15" x14ac:dyDescent="0.25">
      <c r="A345" s="34"/>
      <c r="B345" s="33"/>
      <c r="C345" s="34"/>
      <c r="D345" s="34"/>
      <c r="E345" s="34"/>
      <c r="F345" s="34"/>
      <c r="G345" s="35"/>
      <c r="H345" s="34"/>
      <c r="I345" s="5" t="str">
        <f t="shared" si="25"/>
        <v/>
      </c>
      <c r="J345" s="12" t="str">
        <f t="shared" si="26"/>
        <v/>
      </c>
      <c r="K345" s="37" t="str">
        <f>IF(A345="","",Inputs!$B$11-B345)</f>
        <v/>
      </c>
      <c r="L345" s="5" t="str">
        <f>IF(A345="","",IF(I345&lt;=0,"Sold out",IF(K345&gt;=Inputs!$B$18,"Dead",IF(K345&gt;=Inputs!$B$17,"Ageing",IF(K345&gt;=Inputs!$B$16,"Watch","Fresh")))))</f>
        <v/>
      </c>
      <c r="M345" s="5" t="str">
        <f t="shared" si="27"/>
        <v/>
      </c>
      <c r="N345" s="12" t="str">
        <f t="shared" si="28"/>
        <v/>
      </c>
      <c r="O345" s="36" t="str">
        <f t="shared" si="29"/>
        <v/>
      </c>
    </row>
    <row r="346" spans="1:15" x14ac:dyDescent="0.25">
      <c r="A346" s="34"/>
      <c r="B346" s="33"/>
      <c r="C346" s="34"/>
      <c r="D346" s="34"/>
      <c r="E346" s="34"/>
      <c r="F346" s="34"/>
      <c r="G346" s="35"/>
      <c r="H346" s="34"/>
      <c r="I346" s="5" t="str">
        <f t="shared" si="25"/>
        <v/>
      </c>
      <c r="J346" s="12" t="str">
        <f t="shared" si="26"/>
        <v/>
      </c>
      <c r="K346" s="37" t="str">
        <f>IF(A346="","",Inputs!$B$11-B346)</f>
        <v/>
      </c>
      <c r="L346" s="5" t="str">
        <f>IF(A346="","",IF(I346&lt;=0,"Sold out",IF(K346&gt;=Inputs!$B$18,"Dead",IF(K346&gt;=Inputs!$B$17,"Ageing",IF(K346&gt;=Inputs!$B$16,"Watch","Fresh")))))</f>
        <v/>
      </c>
      <c r="M346" s="5" t="str">
        <f t="shared" si="27"/>
        <v/>
      </c>
      <c r="N346" s="12" t="str">
        <f t="shared" si="28"/>
        <v/>
      </c>
      <c r="O346" s="36" t="str">
        <f t="shared" si="29"/>
        <v/>
      </c>
    </row>
    <row r="347" spans="1:15" x14ac:dyDescent="0.25">
      <c r="A347" s="34"/>
      <c r="B347" s="33"/>
      <c r="C347" s="34"/>
      <c r="D347" s="34"/>
      <c r="E347" s="34"/>
      <c r="F347" s="34"/>
      <c r="G347" s="35"/>
      <c r="H347" s="34"/>
      <c r="I347" s="5" t="str">
        <f t="shared" si="25"/>
        <v/>
      </c>
      <c r="J347" s="12" t="str">
        <f t="shared" si="26"/>
        <v/>
      </c>
      <c r="K347" s="37" t="str">
        <f>IF(A347="","",Inputs!$B$11-B347)</f>
        <v/>
      </c>
      <c r="L347" s="5" t="str">
        <f>IF(A347="","",IF(I347&lt;=0,"Sold out",IF(K347&gt;=Inputs!$B$18,"Dead",IF(K347&gt;=Inputs!$B$17,"Ageing",IF(K347&gt;=Inputs!$B$16,"Watch","Fresh")))))</f>
        <v/>
      </c>
      <c r="M347" s="5" t="str">
        <f t="shared" si="27"/>
        <v/>
      </c>
      <c r="N347" s="12" t="str">
        <f t="shared" si="28"/>
        <v/>
      </c>
      <c r="O347" s="36" t="str">
        <f t="shared" si="29"/>
        <v/>
      </c>
    </row>
    <row r="348" spans="1:15" x14ac:dyDescent="0.25">
      <c r="A348" s="34"/>
      <c r="B348" s="33"/>
      <c r="C348" s="34"/>
      <c r="D348" s="34"/>
      <c r="E348" s="34"/>
      <c r="F348" s="34"/>
      <c r="G348" s="35"/>
      <c r="H348" s="34"/>
      <c r="I348" s="5" t="str">
        <f t="shared" si="25"/>
        <v/>
      </c>
      <c r="J348" s="12" t="str">
        <f t="shared" si="26"/>
        <v/>
      </c>
      <c r="K348" s="37" t="str">
        <f>IF(A348="","",Inputs!$B$11-B348)</f>
        <v/>
      </c>
      <c r="L348" s="5" t="str">
        <f>IF(A348="","",IF(I348&lt;=0,"Sold out",IF(K348&gt;=Inputs!$B$18,"Dead",IF(K348&gt;=Inputs!$B$17,"Ageing",IF(K348&gt;=Inputs!$B$16,"Watch","Fresh")))))</f>
        <v/>
      </c>
      <c r="M348" s="5" t="str">
        <f t="shared" si="27"/>
        <v/>
      </c>
      <c r="N348" s="12" t="str">
        <f t="shared" si="28"/>
        <v/>
      </c>
      <c r="O348" s="36" t="str">
        <f t="shared" si="29"/>
        <v/>
      </c>
    </row>
    <row r="349" spans="1:15" x14ac:dyDescent="0.25">
      <c r="A349" s="34"/>
      <c r="B349" s="33"/>
      <c r="C349" s="34"/>
      <c r="D349" s="34"/>
      <c r="E349" s="34"/>
      <c r="F349" s="34"/>
      <c r="G349" s="35"/>
      <c r="H349" s="34"/>
      <c r="I349" s="5" t="str">
        <f t="shared" si="25"/>
        <v/>
      </c>
      <c r="J349" s="12" t="str">
        <f t="shared" si="26"/>
        <v/>
      </c>
      <c r="K349" s="37" t="str">
        <f>IF(A349="","",Inputs!$B$11-B349)</f>
        <v/>
      </c>
      <c r="L349" s="5" t="str">
        <f>IF(A349="","",IF(I349&lt;=0,"Sold out",IF(K349&gt;=Inputs!$B$18,"Dead",IF(K349&gt;=Inputs!$B$17,"Ageing",IF(K349&gt;=Inputs!$B$16,"Watch","Fresh")))))</f>
        <v/>
      </c>
      <c r="M349" s="5" t="str">
        <f t="shared" si="27"/>
        <v/>
      </c>
      <c r="N349" s="12" t="str">
        <f t="shared" si="28"/>
        <v/>
      </c>
      <c r="O349" s="36" t="str">
        <f t="shared" si="29"/>
        <v/>
      </c>
    </row>
    <row r="350" spans="1:15" x14ac:dyDescent="0.25">
      <c r="A350" s="34"/>
      <c r="B350" s="33"/>
      <c r="C350" s="34"/>
      <c r="D350" s="34"/>
      <c r="E350" s="34"/>
      <c r="F350" s="34"/>
      <c r="G350" s="35"/>
      <c r="H350" s="34"/>
      <c r="I350" s="5" t="str">
        <f t="shared" si="25"/>
        <v/>
      </c>
      <c r="J350" s="12" t="str">
        <f t="shared" si="26"/>
        <v/>
      </c>
      <c r="K350" s="37" t="str">
        <f>IF(A350="","",Inputs!$B$11-B350)</f>
        <v/>
      </c>
      <c r="L350" s="5" t="str">
        <f>IF(A350="","",IF(I350&lt;=0,"Sold out",IF(K350&gt;=Inputs!$B$18,"Dead",IF(K350&gt;=Inputs!$B$17,"Ageing",IF(K350&gt;=Inputs!$B$16,"Watch","Fresh")))))</f>
        <v/>
      </c>
      <c r="M350" s="5" t="str">
        <f t="shared" si="27"/>
        <v/>
      </c>
      <c r="N350" s="12" t="str">
        <f t="shared" si="28"/>
        <v/>
      </c>
      <c r="O350" s="36" t="str">
        <f t="shared" si="29"/>
        <v/>
      </c>
    </row>
    <row r="351" spans="1:15" x14ac:dyDescent="0.25">
      <c r="A351" s="34"/>
      <c r="B351" s="33"/>
      <c r="C351" s="34"/>
      <c r="D351" s="34"/>
      <c r="E351" s="34"/>
      <c r="F351" s="34"/>
      <c r="G351" s="35"/>
      <c r="H351" s="34"/>
      <c r="I351" s="5" t="str">
        <f t="shared" si="25"/>
        <v/>
      </c>
      <c r="J351" s="12" t="str">
        <f t="shared" si="26"/>
        <v/>
      </c>
      <c r="K351" s="37" t="str">
        <f>IF(A351="","",Inputs!$B$11-B351)</f>
        <v/>
      </c>
      <c r="L351" s="5" t="str">
        <f>IF(A351="","",IF(I351&lt;=0,"Sold out",IF(K351&gt;=Inputs!$B$18,"Dead",IF(K351&gt;=Inputs!$B$17,"Ageing",IF(K351&gt;=Inputs!$B$16,"Watch","Fresh")))))</f>
        <v/>
      </c>
      <c r="M351" s="5" t="str">
        <f t="shared" si="27"/>
        <v/>
      </c>
      <c r="N351" s="12" t="str">
        <f t="shared" si="28"/>
        <v/>
      </c>
      <c r="O351" s="36" t="str">
        <f t="shared" si="29"/>
        <v/>
      </c>
    </row>
    <row r="352" spans="1:15" x14ac:dyDescent="0.25">
      <c r="A352" s="34"/>
      <c r="B352" s="33"/>
      <c r="C352" s="34"/>
      <c r="D352" s="34"/>
      <c r="E352" s="34"/>
      <c r="F352" s="34"/>
      <c r="G352" s="35"/>
      <c r="H352" s="34"/>
      <c r="I352" s="5" t="str">
        <f t="shared" si="25"/>
        <v/>
      </c>
      <c r="J352" s="12" t="str">
        <f t="shared" si="26"/>
        <v/>
      </c>
      <c r="K352" s="37" t="str">
        <f>IF(A352="","",Inputs!$B$11-B352)</f>
        <v/>
      </c>
      <c r="L352" s="5" t="str">
        <f>IF(A352="","",IF(I352&lt;=0,"Sold out",IF(K352&gt;=Inputs!$B$18,"Dead",IF(K352&gt;=Inputs!$B$17,"Ageing",IF(K352&gt;=Inputs!$B$16,"Watch","Fresh")))))</f>
        <v/>
      </c>
      <c r="M352" s="5" t="str">
        <f t="shared" si="27"/>
        <v/>
      </c>
      <c r="N352" s="12" t="str">
        <f t="shared" si="28"/>
        <v/>
      </c>
      <c r="O352" s="36" t="str">
        <f t="shared" si="29"/>
        <v/>
      </c>
    </row>
    <row r="353" spans="1:15" x14ac:dyDescent="0.25">
      <c r="A353" s="34"/>
      <c r="B353" s="33"/>
      <c r="C353" s="34"/>
      <c r="D353" s="34"/>
      <c r="E353" s="34"/>
      <c r="F353" s="34"/>
      <c r="G353" s="35"/>
      <c r="H353" s="34"/>
      <c r="I353" s="5" t="str">
        <f t="shared" si="25"/>
        <v/>
      </c>
      <c r="J353" s="12" t="str">
        <f t="shared" si="26"/>
        <v/>
      </c>
      <c r="K353" s="37" t="str">
        <f>IF(A353="","",Inputs!$B$11-B353)</f>
        <v/>
      </c>
      <c r="L353" s="5" t="str">
        <f>IF(A353="","",IF(I353&lt;=0,"Sold out",IF(K353&gt;=Inputs!$B$18,"Dead",IF(K353&gt;=Inputs!$B$17,"Ageing",IF(K353&gt;=Inputs!$B$16,"Watch","Fresh")))))</f>
        <v/>
      </c>
      <c r="M353" s="5" t="str">
        <f t="shared" si="27"/>
        <v/>
      </c>
      <c r="N353" s="12" t="str">
        <f t="shared" si="28"/>
        <v/>
      </c>
      <c r="O353" s="36" t="str">
        <f t="shared" si="29"/>
        <v/>
      </c>
    </row>
    <row r="354" spans="1:15" x14ac:dyDescent="0.25">
      <c r="A354" s="34"/>
      <c r="B354" s="33"/>
      <c r="C354" s="34"/>
      <c r="D354" s="34"/>
      <c r="E354" s="34"/>
      <c r="F354" s="34"/>
      <c r="G354" s="35"/>
      <c r="H354" s="34"/>
      <c r="I354" s="5" t="str">
        <f t="shared" si="25"/>
        <v/>
      </c>
      <c r="J354" s="12" t="str">
        <f t="shared" si="26"/>
        <v/>
      </c>
      <c r="K354" s="37" t="str">
        <f>IF(A354="","",Inputs!$B$11-B354)</f>
        <v/>
      </c>
      <c r="L354" s="5" t="str">
        <f>IF(A354="","",IF(I354&lt;=0,"Sold out",IF(K354&gt;=Inputs!$B$18,"Dead",IF(K354&gt;=Inputs!$B$17,"Ageing",IF(K354&gt;=Inputs!$B$16,"Watch","Fresh")))))</f>
        <v/>
      </c>
      <c r="M354" s="5" t="str">
        <f t="shared" si="27"/>
        <v/>
      </c>
      <c r="N354" s="12" t="str">
        <f t="shared" si="28"/>
        <v/>
      </c>
      <c r="O354" s="36" t="str">
        <f t="shared" si="29"/>
        <v/>
      </c>
    </row>
    <row r="355" spans="1:15" x14ac:dyDescent="0.25">
      <c r="A355" s="34"/>
      <c r="B355" s="33"/>
      <c r="C355" s="34"/>
      <c r="D355" s="34"/>
      <c r="E355" s="34"/>
      <c r="F355" s="34"/>
      <c r="G355" s="35"/>
      <c r="H355" s="34"/>
      <c r="I355" s="5" t="str">
        <f t="shared" si="25"/>
        <v/>
      </c>
      <c r="J355" s="12" t="str">
        <f t="shared" si="26"/>
        <v/>
      </c>
      <c r="K355" s="37" t="str">
        <f>IF(A355="","",Inputs!$B$11-B355)</f>
        <v/>
      </c>
      <c r="L355" s="5" t="str">
        <f>IF(A355="","",IF(I355&lt;=0,"Sold out",IF(K355&gt;=Inputs!$B$18,"Dead",IF(K355&gt;=Inputs!$B$17,"Ageing",IF(K355&gt;=Inputs!$B$16,"Watch","Fresh")))))</f>
        <v/>
      </c>
      <c r="M355" s="5" t="str">
        <f t="shared" si="27"/>
        <v/>
      </c>
      <c r="N355" s="12" t="str">
        <f t="shared" si="28"/>
        <v/>
      </c>
      <c r="O355" s="36" t="str">
        <f t="shared" si="29"/>
        <v/>
      </c>
    </row>
    <row r="356" spans="1:15" x14ac:dyDescent="0.25">
      <c r="A356" s="34"/>
      <c r="B356" s="33"/>
      <c r="C356" s="34"/>
      <c r="D356" s="34"/>
      <c r="E356" s="34"/>
      <c r="F356" s="34"/>
      <c r="G356" s="35"/>
      <c r="H356" s="34"/>
      <c r="I356" s="5" t="str">
        <f t="shared" si="25"/>
        <v/>
      </c>
      <c r="J356" s="12" t="str">
        <f t="shared" si="26"/>
        <v/>
      </c>
      <c r="K356" s="37" t="str">
        <f>IF(A356="","",Inputs!$B$11-B356)</f>
        <v/>
      </c>
      <c r="L356" s="5" t="str">
        <f>IF(A356="","",IF(I356&lt;=0,"Sold out",IF(K356&gt;=Inputs!$B$18,"Dead",IF(K356&gt;=Inputs!$B$17,"Ageing",IF(K356&gt;=Inputs!$B$16,"Watch","Fresh")))))</f>
        <v/>
      </c>
      <c r="M356" s="5" t="str">
        <f t="shared" si="27"/>
        <v/>
      </c>
      <c r="N356" s="12" t="str">
        <f t="shared" si="28"/>
        <v/>
      </c>
      <c r="O356" s="36" t="str">
        <f t="shared" si="29"/>
        <v/>
      </c>
    </row>
    <row r="357" spans="1:15" x14ac:dyDescent="0.25">
      <c r="A357" s="34"/>
      <c r="B357" s="33"/>
      <c r="C357" s="34"/>
      <c r="D357" s="34"/>
      <c r="E357" s="34"/>
      <c r="F357" s="34"/>
      <c r="G357" s="35"/>
      <c r="H357" s="34"/>
      <c r="I357" s="5" t="str">
        <f t="shared" si="25"/>
        <v/>
      </c>
      <c r="J357" s="12" t="str">
        <f t="shared" si="26"/>
        <v/>
      </c>
      <c r="K357" s="37" t="str">
        <f>IF(A357="","",Inputs!$B$11-B357)</f>
        <v/>
      </c>
      <c r="L357" s="5" t="str">
        <f>IF(A357="","",IF(I357&lt;=0,"Sold out",IF(K357&gt;=Inputs!$B$18,"Dead",IF(K357&gt;=Inputs!$B$17,"Ageing",IF(K357&gt;=Inputs!$B$16,"Watch","Fresh")))))</f>
        <v/>
      </c>
      <c r="M357" s="5" t="str">
        <f t="shared" si="27"/>
        <v/>
      </c>
      <c r="N357" s="12" t="str">
        <f t="shared" si="28"/>
        <v/>
      </c>
      <c r="O357" s="36" t="str">
        <f t="shared" si="29"/>
        <v/>
      </c>
    </row>
    <row r="358" spans="1:15" x14ac:dyDescent="0.25">
      <c r="A358" s="34"/>
      <c r="B358" s="33"/>
      <c r="C358" s="34"/>
      <c r="D358" s="34"/>
      <c r="E358" s="34"/>
      <c r="F358" s="34"/>
      <c r="G358" s="35"/>
      <c r="H358" s="34"/>
      <c r="I358" s="5" t="str">
        <f t="shared" si="25"/>
        <v/>
      </c>
      <c r="J358" s="12" t="str">
        <f t="shared" si="26"/>
        <v/>
      </c>
      <c r="K358" s="37" t="str">
        <f>IF(A358="","",Inputs!$B$11-B358)</f>
        <v/>
      </c>
      <c r="L358" s="5" t="str">
        <f>IF(A358="","",IF(I358&lt;=0,"Sold out",IF(K358&gt;=Inputs!$B$18,"Dead",IF(K358&gt;=Inputs!$B$17,"Ageing",IF(K358&gt;=Inputs!$B$16,"Watch","Fresh")))))</f>
        <v/>
      </c>
      <c r="M358" s="5" t="str">
        <f t="shared" si="27"/>
        <v/>
      </c>
      <c r="N358" s="12" t="str">
        <f t="shared" si="28"/>
        <v/>
      </c>
      <c r="O358" s="36" t="str">
        <f t="shared" si="29"/>
        <v/>
      </c>
    </row>
    <row r="359" spans="1:15" x14ac:dyDescent="0.25">
      <c r="A359" s="34"/>
      <c r="B359" s="33"/>
      <c r="C359" s="34"/>
      <c r="D359" s="34"/>
      <c r="E359" s="34"/>
      <c r="F359" s="34"/>
      <c r="G359" s="35"/>
      <c r="H359" s="34"/>
      <c r="I359" s="5" t="str">
        <f t="shared" si="25"/>
        <v/>
      </c>
      <c r="J359" s="12" t="str">
        <f t="shared" si="26"/>
        <v/>
      </c>
      <c r="K359" s="37" t="str">
        <f>IF(A359="","",Inputs!$B$11-B359)</f>
        <v/>
      </c>
      <c r="L359" s="5" t="str">
        <f>IF(A359="","",IF(I359&lt;=0,"Sold out",IF(K359&gt;=Inputs!$B$18,"Dead",IF(K359&gt;=Inputs!$B$17,"Ageing",IF(K359&gt;=Inputs!$B$16,"Watch","Fresh")))))</f>
        <v/>
      </c>
      <c r="M359" s="5" t="str">
        <f t="shared" si="27"/>
        <v/>
      </c>
      <c r="N359" s="12" t="str">
        <f t="shared" si="28"/>
        <v/>
      </c>
      <c r="O359" s="36" t="str">
        <f t="shared" si="29"/>
        <v/>
      </c>
    </row>
    <row r="360" spans="1:15" x14ac:dyDescent="0.25">
      <c r="A360" s="34"/>
      <c r="B360" s="33"/>
      <c r="C360" s="34"/>
      <c r="D360" s="34"/>
      <c r="E360" s="34"/>
      <c r="F360" s="34"/>
      <c r="G360" s="35"/>
      <c r="H360" s="34"/>
      <c r="I360" s="5" t="str">
        <f t="shared" si="25"/>
        <v/>
      </c>
      <c r="J360" s="12" t="str">
        <f t="shared" si="26"/>
        <v/>
      </c>
      <c r="K360" s="37" t="str">
        <f>IF(A360="","",Inputs!$B$11-B360)</f>
        <v/>
      </c>
      <c r="L360" s="5" t="str">
        <f>IF(A360="","",IF(I360&lt;=0,"Sold out",IF(K360&gt;=Inputs!$B$18,"Dead",IF(K360&gt;=Inputs!$B$17,"Ageing",IF(K360&gt;=Inputs!$B$16,"Watch","Fresh")))))</f>
        <v/>
      </c>
      <c r="M360" s="5" t="str">
        <f t="shared" si="27"/>
        <v/>
      </c>
      <c r="N360" s="12" t="str">
        <f t="shared" si="28"/>
        <v/>
      </c>
      <c r="O360" s="36" t="str">
        <f t="shared" si="29"/>
        <v/>
      </c>
    </row>
    <row r="361" spans="1:15" x14ac:dyDescent="0.25">
      <c r="A361" s="34"/>
      <c r="B361" s="33"/>
      <c r="C361" s="34"/>
      <c r="D361" s="34"/>
      <c r="E361" s="34"/>
      <c r="F361" s="34"/>
      <c r="G361" s="35"/>
      <c r="H361" s="34"/>
      <c r="I361" s="5" t="str">
        <f t="shared" si="25"/>
        <v/>
      </c>
      <c r="J361" s="12" t="str">
        <f t="shared" si="26"/>
        <v/>
      </c>
      <c r="K361" s="37" t="str">
        <f>IF(A361="","",Inputs!$B$11-B361)</f>
        <v/>
      </c>
      <c r="L361" s="5" t="str">
        <f>IF(A361="","",IF(I361&lt;=0,"Sold out",IF(K361&gt;=Inputs!$B$18,"Dead",IF(K361&gt;=Inputs!$B$17,"Ageing",IF(K361&gt;=Inputs!$B$16,"Watch","Fresh")))))</f>
        <v/>
      </c>
      <c r="M361" s="5" t="str">
        <f t="shared" si="27"/>
        <v/>
      </c>
      <c r="N361" s="12" t="str">
        <f t="shared" si="28"/>
        <v/>
      </c>
      <c r="O361" s="36" t="str">
        <f t="shared" si="29"/>
        <v/>
      </c>
    </row>
    <row r="362" spans="1:15" x14ac:dyDescent="0.25">
      <c r="A362" s="34"/>
      <c r="B362" s="33"/>
      <c r="C362" s="34"/>
      <c r="D362" s="34"/>
      <c r="E362" s="34"/>
      <c r="F362" s="34"/>
      <c r="G362" s="35"/>
      <c r="H362" s="34"/>
      <c r="I362" s="5" t="str">
        <f t="shared" si="25"/>
        <v/>
      </c>
      <c r="J362" s="12" t="str">
        <f t="shared" si="26"/>
        <v/>
      </c>
      <c r="K362" s="37" t="str">
        <f>IF(A362="","",Inputs!$B$11-B362)</f>
        <v/>
      </c>
      <c r="L362" s="5" t="str">
        <f>IF(A362="","",IF(I362&lt;=0,"Sold out",IF(K362&gt;=Inputs!$B$18,"Dead",IF(K362&gt;=Inputs!$B$17,"Ageing",IF(K362&gt;=Inputs!$B$16,"Watch","Fresh")))))</f>
        <v/>
      </c>
      <c r="M362" s="5" t="str">
        <f t="shared" si="27"/>
        <v/>
      </c>
      <c r="N362" s="12" t="str">
        <f t="shared" si="28"/>
        <v/>
      </c>
      <c r="O362" s="36" t="str">
        <f t="shared" si="29"/>
        <v/>
      </c>
    </row>
    <row r="363" spans="1:15" x14ac:dyDescent="0.25">
      <c r="A363" s="34"/>
      <c r="B363" s="33"/>
      <c r="C363" s="34"/>
      <c r="D363" s="34"/>
      <c r="E363" s="34"/>
      <c r="F363" s="34"/>
      <c r="G363" s="35"/>
      <c r="H363" s="34"/>
      <c r="I363" s="5" t="str">
        <f t="shared" si="25"/>
        <v/>
      </c>
      <c r="J363" s="12" t="str">
        <f t="shared" si="26"/>
        <v/>
      </c>
      <c r="K363" s="37" t="str">
        <f>IF(A363="","",Inputs!$B$11-B363)</f>
        <v/>
      </c>
      <c r="L363" s="5" t="str">
        <f>IF(A363="","",IF(I363&lt;=0,"Sold out",IF(K363&gt;=Inputs!$B$18,"Dead",IF(K363&gt;=Inputs!$B$17,"Ageing",IF(K363&gt;=Inputs!$B$16,"Watch","Fresh")))))</f>
        <v/>
      </c>
      <c r="M363" s="5" t="str">
        <f t="shared" si="27"/>
        <v/>
      </c>
      <c r="N363" s="12" t="str">
        <f t="shared" si="28"/>
        <v/>
      </c>
      <c r="O363" s="36" t="str">
        <f t="shared" si="29"/>
        <v/>
      </c>
    </row>
    <row r="364" spans="1:15" x14ac:dyDescent="0.25">
      <c r="A364" s="34"/>
      <c r="B364" s="33"/>
      <c r="C364" s="34"/>
      <c r="D364" s="34"/>
      <c r="E364" s="34"/>
      <c r="F364" s="34"/>
      <c r="G364" s="35"/>
      <c r="H364" s="34"/>
      <c r="I364" s="5" t="str">
        <f t="shared" si="25"/>
        <v/>
      </c>
      <c r="J364" s="12" t="str">
        <f t="shared" si="26"/>
        <v/>
      </c>
      <c r="K364" s="37" t="str">
        <f>IF(A364="","",Inputs!$B$11-B364)</f>
        <v/>
      </c>
      <c r="L364" s="5" t="str">
        <f>IF(A364="","",IF(I364&lt;=0,"Sold out",IF(K364&gt;=Inputs!$B$18,"Dead",IF(K364&gt;=Inputs!$B$17,"Ageing",IF(K364&gt;=Inputs!$B$16,"Watch","Fresh")))))</f>
        <v/>
      </c>
      <c r="M364" s="5" t="str">
        <f t="shared" si="27"/>
        <v/>
      </c>
      <c r="N364" s="12" t="str">
        <f t="shared" si="28"/>
        <v/>
      </c>
      <c r="O364" s="36" t="str">
        <f t="shared" si="29"/>
        <v/>
      </c>
    </row>
    <row r="365" spans="1:15" x14ac:dyDescent="0.25">
      <c r="A365" s="34"/>
      <c r="B365" s="33"/>
      <c r="C365" s="34"/>
      <c r="D365" s="34"/>
      <c r="E365" s="34"/>
      <c r="F365" s="34"/>
      <c r="G365" s="35"/>
      <c r="H365" s="34"/>
      <c r="I365" s="5" t="str">
        <f t="shared" si="25"/>
        <v/>
      </c>
      <c r="J365" s="12" t="str">
        <f t="shared" si="26"/>
        <v/>
      </c>
      <c r="K365" s="37" t="str">
        <f>IF(A365="","",Inputs!$B$11-B365)</f>
        <v/>
      </c>
      <c r="L365" s="5" t="str">
        <f>IF(A365="","",IF(I365&lt;=0,"Sold out",IF(K365&gt;=Inputs!$B$18,"Dead",IF(K365&gt;=Inputs!$B$17,"Ageing",IF(K365&gt;=Inputs!$B$16,"Watch","Fresh")))))</f>
        <v/>
      </c>
      <c r="M365" s="5" t="str">
        <f t="shared" si="27"/>
        <v/>
      </c>
      <c r="N365" s="12" t="str">
        <f t="shared" si="28"/>
        <v/>
      </c>
      <c r="O365" s="36" t="str">
        <f t="shared" si="29"/>
        <v/>
      </c>
    </row>
    <row r="366" spans="1:15" x14ac:dyDescent="0.25">
      <c r="A366" s="34"/>
      <c r="B366" s="33"/>
      <c r="C366" s="34"/>
      <c r="D366" s="34"/>
      <c r="E366" s="34"/>
      <c r="F366" s="34"/>
      <c r="G366" s="35"/>
      <c r="H366" s="34"/>
      <c r="I366" s="5" t="str">
        <f t="shared" si="25"/>
        <v/>
      </c>
      <c r="J366" s="12" t="str">
        <f t="shared" si="26"/>
        <v/>
      </c>
      <c r="K366" s="37" t="str">
        <f>IF(A366="","",Inputs!$B$11-B366)</f>
        <v/>
      </c>
      <c r="L366" s="5" t="str">
        <f>IF(A366="","",IF(I366&lt;=0,"Sold out",IF(K366&gt;=Inputs!$B$18,"Dead",IF(K366&gt;=Inputs!$B$17,"Ageing",IF(K366&gt;=Inputs!$B$16,"Watch","Fresh")))))</f>
        <v/>
      </c>
      <c r="M366" s="5" t="str">
        <f t="shared" si="27"/>
        <v/>
      </c>
      <c r="N366" s="12" t="str">
        <f t="shared" si="28"/>
        <v/>
      </c>
      <c r="O366" s="36" t="str">
        <f t="shared" si="29"/>
        <v/>
      </c>
    </row>
    <row r="367" spans="1:15" x14ac:dyDescent="0.25">
      <c r="A367" s="34"/>
      <c r="B367" s="33"/>
      <c r="C367" s="34"/>
      <c r="D367" s="34"/>
      <c r="E367" s="34"/>
      <c r="F367" s="34"/>
      <c r="G367" s="35"/>
      <c r="H367" s="34"/>
      <c r="I367" s="5" t="str">
        <f t="shared" si="25"/>
        <v/>
      </c>
      <c r="J367" s="12" t="str">
        <f t="shared" si="26"/>
        <v/>
      </c>
      <c r="K367" s="37" t="str">
        <f>IF(A367="","",Inputs!$B$11-B367)</f>
        <v/>
      </c>
      <c r="L367" s="5" t="str">
        <f>IF(A367="","",IF(I367&lt;=0,"Sold out",IF(K367&gt;=Inputs!$B$18,"Dead",IF(K367&gt;=Inputs!$B$17,"Ageing",IF(K367&gt;=Inputs!$B$16,"Watch","Fresh")))))</f>
        <v/>
      </c>
      <c r="M367" s="5" t="str">
        <f t="shared" si="27"/>
        <v/>
      </c>
      <c r="N367" s="12" t="str">
        <f t="shared" si="28"/>
        <v/>
      </c>
      <c r="O367" s="36" t="str">
        <f t="shared" si="29"/>
        <v/>
      </c>
    </row>
    <row r="368" spans="1:15" x14ac:dyDescent="0.25">
      <c r="A368" s="34"/>
      <c r="B368" s="33"/>
      <c r="C368" s="34"/>
      <c r="D368" s="34"/>
      <c r="E368" s="34"/>
      <c r="F368" s="34"/>
      <c r="G368" s="35"/>
      <c r="H368" s="34"/>
      <c r="I368" s="5" t="str">
        <f t="shared" si="25"/>
        <v/>
      </c>
      <c r="J368" s="12" t="str">
        <f t="shared" si="26"/>
        <v/>
      </c>
      <c r="K368" s="37" t="str">
        <f>IF(A368="","",Inputs!$B$11-B368)</f>
        <v/>
      </c>
      <c r="L368" s="5" t="str">
        <f>IF(A368="","",IF(I368&lt;=0,"Sold out",IF(K368&gt;=Inputs!$B$18,"Dead",IF(K368&gt;=Inputs!$B$17,"Ageing",IF(K368&gt;=Inputs!$B$16,"Watch","Fresh")))))</f>
        <v/>
      </c>
      <c r="M368" s="5" t="str">
        <f t="shared" si="27"/>
        <v/>
      </c>
      <c r="N368" s="12" t="str">
        <f t="shared" si="28"/>
        <v/>
      </c>
      <c r="O368" s="36" t="str">
        <f t="shared" si="29"/>
        <v/>
      </c>
    </row>
    <row r="369" spans="1:15" x14ac:dyDescent="0.25">
      <c r="A369" s="34"/>
      <c r="B369" s="33"/>
      <c r="C369" s="34"/>
      <c r="D369" s="34"/>
      <c r="E369" s="34"/>
      <c r="F369" s="34"/>
      <c r="G369" s="35"/>
      <c r="H369" s="34"/>
      <c r="I369" s="5" t="str">
        <f t="shared" si="25"/>
        <v/>
      </c>
      <c r="J369" s="12" t="str">
        <f t="shared" si="26"/>
        <v/>
      </c>
      <c r="K369" s="37" t="str">
        <f>IF(A369="","",Inputs!$B$11-B369)</f>
        <v/>
      </c>
      <c r="L369" s="5" t="str">
        <f>IF(A369="","",IF(I369&lt;=0,"Sold out",IF(K369&gt;=Inputs!$B$18,"Dead",IF(K369&gt;=Inputs!$B$17,"Ageing",IF(K369&gt;=Inputs!$B$16,"Watch","Fresh")))))</f>
        <v/>
      </c>
      <c r="M369" s="5" t="str">
        <f t="shared" si="27"/>
        <v/>
      </c>
      <c r="N369" s="12" t="str">
        <f t="shared" si="28"/>
        <v/>
      </c>
      <c r="O369" s="36" t="str">
        <f t="shared" si="29"/>
        <v/>
      </c>
    </row>
    <row r="370" spans="1:15" x14ac:dyDescent="0.25">
      <c r="A370" s="34"/>
      <c r="B370" s="33"/>
      <c r="C370" s="34"/>
      <c r="D370" s="34"/>
      <c r="E370" s="34"/>
      <c r="F370" s="34"/>
      <c r="G370" s="35"/>
      <c r="H370" s="34"/>
      <c r="I370" s="5" t="str">
        <f t="shared" si="25"/>
        <v/>
      </c>
      <c r="J370" s="12" t="str">
        <f t="shared" si="26"/>
        <v/>
      </c>
      <c r="K370" s="37" t="str">
        <f>IF(A370="","",Inputs!$B$11-B370)</f>
        <v/>
      </c>
      <c r="L370" s="5" t="str">
        <f>IF(A370="","",IF(I370&lt;=0,"Sold out",IF(K370&gt;=Inputs!$B$18,"Dead",IF(K370&gt;=Inputs!$B$17,"Ageing",IF(K370&gt;=Inputs!$B$16,"Watch","Fresh")))))</f>
        <v/>
      </c>
      <c r="M370" s="5" t="str">
        <f t="shared" si="27"/>
        <v/>
      </c>
      <c r="N370" s="12" t="str">
        <f t="shared" si="28"/>
        <v/>
      </c>
      <c r="O370" s="36" t="str">
        <f t="shared" si="29"/>
        <v/>
      </c>
    </row>
    <row r="371" spans="1:15" x14ac:dyDescent="0.25">
      <c r="A371" s="34"/>
      <c r="B371" s="33"/>
      <c r="C371" s="34"/>
      <c r="D371" s="34"/>
      <c r="E371" s="34"/>
      <c r="F371" s="34"/>
      <c r="G371" s="35"/>
      <c r="H371" s="34"/>
      <c r="I371" s="5" t="str">
        <f t="shared" si="25"/>
        <v/>
      </c>
      <c r="J371" s="12" t="str">
        <f t="shared" si="26"/>
        <v/>
      </c>
      <c r="K371" s="37" t="str">
        <f>IF(A371="","",Inputs!$B$11-B371)</f>
        <v/>
      </c>
      <c r="L371" s="5" t="str">
        <f>IF(A371="","",IF(I371&lt;=0,"Sold out",IF(K371&gt;=Inputs!$B$18,"Dead",IF(K371&gt;=Inputs!$B$17,"Ageing",IF(K371&gt;=Inputs!$B$16,"Watch","Fresh")))))</f>
        <v/>
      </c>
      <c r="M371" s="5" t="str">
        <f t="shared" si="27"/>
        <v/>
      </c>
      <c r="N371" s="12" t="str">
        <f t="shared" si="28"/>
        <v/>
      </c>
      <c r="O371" s="36" t="str">
        <f t="shared" si="29"/>
        <v/>
      </c>
    </row>
    <row r="372" spans="1:15" x14ac:dyDescent="0.25">
      <c r="A372" s="34"/>
      <c r="B372" s="33"/>
      <c r="C372" s="34"/>
      <c r="D372" s="34"/>
      <c r="E372" s="34"/>
      <c r="F372" s="34"/>
      <c r="G372" s="35"/>
      <c r="H372" s="34"/>
      <c r="I372" s="5" t="str">
        <f t="shared" si="25"/>
        <v/>
      </c>
      <c r="J372" s="12" t="str">
        <f t="shared" si="26"/>
        <v/>
      </c>
      <c r="K372" s="37" t="str">
        <f>IF(A372="","",Inputs!$B$11-B372)</f>
        <v/>
      </c>
      <c r="L372" s="5" t="str">
        <f>IF(A372="","",IF(I372&lt;=0,"Sold out",IF(K372&gt;=Inputs!$B$18,"Dead",IF(K372&gt;=Inputs!$B$17,"Ageing",IF(K372&gt;=Inputs!$B$16,"Watch","Fresh")))))</f>
        <v/>
      </c>
      <c r="M372" s="5" t="str">
        <f t="shared" si="27"/>
        <v/>
      </c>
      <c r="N372" s="12" t="str">
        <f t="shared" si="28"/>
        <v/>
      </c>
      <c r="O372" s="36" t="str">
        <f t="shared" si="29"/>
        <v/>
      </c>
    </row>
    <row r="373" spans="1:15" x14ac:dyDescent="0.25">
      <c r="A373" s="34"/>
      <c r="B373" s="33"/>
      <c r="C373" s="34"/>
      <c r="D373" s="34"/>
      <c r="E373" s="34"/>
      <c r="F373" s="34"/>
      <c r="G373" s="35"/>
      <c r="H373" s="34"/>
      <c r="I373" s="5" t="str">
        <f t="shared" si="25"/>
        <v/>
      </c>
      <c r="J373" s="12" t="str">
        <f t="shared" si="26"/>
        <v/>
      </c>
      <c r="K373" s="37" t="str">
        <f>IF(A373="","",Inputs!$B$11-B373)</f>
        <v/>
      </c>
      <c r="L373" s="5" t="str">
        <f>IF(A373="","",IF(I373&lt;=0,"Sold out",IF(K373&gt;=Inputs!$B$18,"Dead",IF(K373&gt;=Inputs!$B$17,"Ageing",IF(K373&gt;=Inputs!$B$16,"Watch","Fresh")))))</f>
        <v/>
      </c>
      <c r="M373" s="5" t="str">
        <f t="shared" si="27"/>
        <v/>
      </c>
      <c r="N373" s="12" t="str">
        <f t="shared" si="28"/>
        <v/>
      </c>
      <c r="O373" s="36" t="str">
        <f t="shared" si="29"/>
        <v/>
      </c>
    </row>
    <row r="374" spans="1:15" x14ac:dyDescent="0.25">
      <c r="A374" s="34"/>
      <c r="B374" s="33"/>
      <c r="C374" s="34"/>
      <c r="D374" s="34"/>
      <c r="E374" s="34"/>
      <c r="F374" s="34"/>
      <c r="G374" s="35"/>
      <c r="H374" s="34"/>
      <c r="I374" s="5" t="str">
        <f t="shared" si="25"/>
        <v/>
      </c>
      <c r="J374" s="12" t="str">
        <f t="shared" si="26"/>
        <v/>
      </c>
      <c r="K374" s="37" t="str">
        <f>IF(A374="","",Inputs!$B$11-B374)</f>
        <v/>
      </c>
      <c r="L374" s="5" t="str">
        <f>IF(A374="","",IF(I374&lt;=0,"Sold out",IF(K374&gt;=Inputs!$B$18,"Dead",IF(K374&gt;=Inputs!$B$17,"Ageing",IF(K374&gt;=Inputs!$B$16,"Watch","Fresh")))))</f>
        <v/>
      </c>
      <c r="M374" s="5" t="str">
        <f t="shared" si="27"/>
        <v/>
      </c>
      <c r="N374" s="12" t="str">
        <f t="shared" si="28"/>
        <v/>
      </c>
      <c r="O374" s="36" t="str">
        <f t="shared" si="29"/>
        <v/>
      </c>
    </row>
    <row r="375" spans="1:15" x14ac:dyDescent="0.25">
      <c r="A375" s="34"/>
      <c r="B375" s="33"/>
      <c r="C375" s="34"/>
      <c r="D375" s="34"/>
      <c r="E375" s="34"/>
      <c r="F375" s="34"/>
      <c r="G375" s="35"/>
      <c r="H375" s="34"/>
      <c r="I375" s="5" t="str">
        <f t="shared" si="25"/>
        <v/>
      </c>
      <c r="J375" s="12" t="str">
        <f t="shared" si="26"/>
        <v/>
      </c>
      <c r="K375" s="37" t="str">
        <f>IF(A375="","",Inputs!$B$11-B375)</f>
        <v/>
      </c>
      <c r="L375" s="5" t="str">
        <f>IF(A375="","",IF(I375&lt;=0,"Sold out",IF(K375&gt;=Inputs!$B$18,"Dead",IF(K375&gt;=Inputs!$B$17,"Ageing",IF(K375&gt;=Inputs!$B$16,"Watch","Fresh")))))</f>
        <v/>
      </c>
      <c r="M375" s="5" t="str">
        <f t="shared" si="27"/>
        <v/>
      </c>
      <c r="N375" s="12" t="str">
        <f t="shared" si="28"/>
        <v/>
      </c>
      <c r="O375" s="36" t="str">
        <f t="shared" si="29"/>
        <v/>
      </c>
    </row>
    <row r="376" spans="1:15" x14ac:dyDescent="0.25">
      <c r="A376" s="34"/>
      <c r="B376" s="33"/>
      <c r="C376" s="34"/>
      <c r="D376" s="34"/>
      <c r="E376" s="34"/>
      <c r="F376" s="34"/>
      <c r="G376" s="35"/>
      <c r="H376" s="34"/>
      <c r="I376" s="5" t="str">
        <f t="shared" si="25"/>
        <v/>
      </c>
      <c r="J376" s="12" t="str">
        <f t="shared" si="26"/>
        <v/>
      </c>
      <c r="K376" s="37" t="str">
        <f>IF(A376="","",Inputs!$B$11-B376)</f>
        <v/>
      </c>
      <c r="L376" s="5" t="str">
        <f>IF(A376="","",IF(I376&lt;=0,"Sold out",IF(K376&gt;=Inputs!$B$18,"Dead",IF(K376&gt;=Inputs!$B$17,"Ageing",IF(K376&gt;=Inputs!$B$16,"Watch","Fresh")))))</f>
        <v/>
      </c>
      <c r="M376" s="5" t="str">
        <f t="shared" si="27"/>
        <v/>
      </c>
      <c r="N376" s="12" t="str">
        <f t="shared" si="28"/>
        <v/>
      </c>
      <c r="O376" s="36" t="str">
        <f t="shared" si="29"/>
        <v/>
      </c>
    </row>
    <row r="377" spans="1:15" x14ac:dyDescent="0.25">
      <c r="A377" s="34"/>
      <c r="B377" s="33"/>
      <c r="C377" s="34"/>
      <c r="D377" s="34"/>
      <c r="E377" s="34"/>
      <c r="F377" s="34"/>
      <c r="G377" s="35"/>
      <c r="H377" s="34"/>
      <c r="I377" s="5" t="str">
        <f t="shared" si="25"/>
        <v/>
      </c>
      <c r="J377" s="12" t="str">
        <f t="shared" si="26"/>
        <v/>
      </c>
      <c r="K377" s="37" t="str">
        <f>IF(A377="","",Inputs!$B$11-B377)</f>
        <v/>
      </c>
      <c r="L377" s="5" t="str">
        <f>IF(A377="","",IF(I377&lt;=0,"Sold out",IF(K377&gt;=Inputs!$B$18,"Dead",IF(K377&gt;=Inputs!$B$17,"Ageing",IF(K377&gt;=Inputs!$B$16,"Watch","Fresh")))))</f>
        <v/>
      </c>
      <c r="M377" s="5" t="str">
        <f t="shared" si="27"/>
        <v/>
      </c>
      <c r="N377" s="12" t="str">
        <f t="shared" si="28"/>
        <v/>
      </c>
      <c r="O377" s="36" t="str">
        <f t="shared" si="29"/>
        <v/>
      </c>
    </row>
    <row r="378" spans="1:15" x14ac:dyDescent="0.25">
      <c r="A378" s="34"/>
      <c r="B378" s="33"/>
      <c r="C378" s="34"/>
      <c r="D378" s="34"/>
      <c r="E378" s="34"/>
      <c r="F378" s="34"/>
      <c r="G378" s="35"/>
      <c r="H378" s="34"/>
      <c r="I378" s="5" t="str">
        <f t="shared" si="25"/>
        <v/>
      </c>
      <c r="J378" s="12" t="str">
        <f t="shared" si="26"/>
        <v/>
      </c>
      <c r="K378" s="37" t="str">
        <f>IF(A378="","",Inputs!$B$11-B378)</f>
        <v/>
      </c>
      <c r="L378" s="5" t="str">
        <f>IF(A378="","",IF(I378&lt;=0,"Sold out",IF(K378&gt;=Inputs!$B$18,"Dead",IF(K378&gt;=Inputs!$B$17,"Ageing",IF(K378&gt;=Inputs!$B$16,"Watch","Fresh")))))</f>
        <v/>
      </c>
      <c r="M378" s="5" t="str">
        <f t="shared" si="27"/>
        <v/>
      </c>
      <c r="N378" s="12" t="str">
        <f t="shared" si="28"/>
        <v/>
      </c>
      <c r="O378" s="36" t="str">
        <f t="shared" si="29"/>
        <v/>
      </c>
    </row>
    <row r="379" spans="1:15" x14ac:dyDescent="0.25">
      <c r="A379" s="34"/>
      <c r="B379" s="33"/>
      <c r="C379" s="34"/>
      <c r="D379" s="34"/>
      <c r="E379" s="34"/>
      <c r="F379" s="34"/>
      <c r="G379" s="35"/>
      <c r="H379" s="34"/>
      <c r="I379" s="5" t="str">
        <f t="shared" si="25"/>
        <v/>
      </c>
      <c r="J379" s="12" t="str">
        <f t="shared" si="26"/>
        <v/>
      </c>
      <c r="K379" s="37" t="str">
        <f>IF(A379="","",Inputs!$B$11-B379)</f>
        <v/>
      </c>
      <c r="L379" s="5" t="str">
        <f>IF(A379="","",IF(I379&lt;=0,"Sold out",IF(K379&gt;=Inputs!$B$18,"Dead",IF(K379&gt;=Inputs!$B$17,"Ageing",IF(K379&gt;=Inputs!$B$16,"Watch","Fresh")))))</f>
        <v/>
      </c>
      <c r="M379" s="5" t="str">
        <f t="shared" si="27"/>
        <v/>
      </c>
      <c r="N379" s="12" t="str">
        <f t="shared" si="28"/>
        <v/>
      </c>
      <c r="O379" s="36" t="str">
        <f t="shared" si="29"/>
        <v/>
      </c>
    </row>
    <row r="380" spans="1:15" x14ac:dyDescent="0.25">
      <c r="A380" s="34"/>
      <c r="B380" s="33"/>
      <c r="C380" s="34"/>
      <c r="D380" s="34"/>
      <c r="E380" s="34"/>
      <c r="F380" s="34"/>
      <c r="G380" s="35"/>
      <c r="H380" s="34"/>
      <c r="I380" s="5" t="str">
        <f t="shared" si="25"/>
        <v/>
      </c>
      <c r="J380" s="12" t="str">
        <f t="shared" si="26"/>
        <v/>
      </c>
      <c r="K380" s="37" t="str">
        <f>IF(A380="","",Inputs!$B$11-B380)</f>
        <v/>
      </c>
      <c r="L380" s="5" t="str">
        <f>IF(A380="","",IF(I380&lt;=0,"Sold out",IF(K380&gt;=Inputs!$B$18,"Dead",IF(K380&gt;=Inputs!$B$17,"Ageing",IF(K380&gt;=Inputs!$B$16,"Watch","Fresh")))))</f>
        <v/>
      </c>
      <c r="M380" s="5" t="str">
        <f t="shared" si="27"/>
        <v/>
      </c>
      <c r="N380" s="12" t="str">
        <f t="shared" si="28"/>
        <v/>
      </c>
      <c r="O380" s="36" t="str">
        <f t="shared" si="29"/>
        <v/>
      </c>
    </row>
    <row r="381" spans="1:15" x14ac:dyDescent="0.25">
      <c r="A381" s="34"/>
      <c r="B381" s="33"/>
      <c r="C381" s="34"/>
      <c r="D381" s="34"/>
      <c r="E381" s="34"/>
      <c r="F381" s="34"/>
      <c r="G381" s="35"/>
      <c r="H381" s="34"/>
      <c r="I381" s="5" t="str">
        <f t="shared" si="25"/>
        <v/>
      </c>
      <c r="J381" s="12" t="str">
        <f t="shared" si="26"/>
        <v/>
      </c>
      <c r="K381" s="37" t="str">
        <f>IF(A381="","",Inputs!$B$11-B381)</f>
        <v/>
      </c>
      <c r="L381" s="5" t="str">
        <f>IF(A381="","",IF(I381&lt;=0,"Sold out",IF(K381&gt;=Inputs!$B$18,"Dead",IF(K381&gt;=Inputs!$B$17,"Ageing",IF(K381&gt;=Inputs!$B$16,"Watch","Fresh")))))</f>
        <v/>
      </c>
      <c r="M381" s="5" t="str">
        <f t="shared" si="27"/>
        <v/>
      </c>
      <c r="N381" s="12" t="str">
        <f t="shared" si="28"/>
        <v/>
      </c>
      <c r="O381" s="36" t="str">
        <f t="shared" si="29"/>
        <v/>
      </c>
    </row>
    <row r="382" spans="1:15" x14ac:dyDescent="0.25">
      <c r="A382" s="34"/>
      <c r="B382" s="33"/>
      <c r="C382" s="34"/>
      <c r="D382" s="34"/>
      <c r="E382" s="34"/>
      <c r="F382" s="34"/>
      <c r="G382" s="35"/>
      <c r="H382" s="34"/>
      <c r="I382" s="5" t="str">
        <f t="shared" si="25"/>
        <v/>
      </c>
      <c r="J382" s="12" t="str">
        <f t="shared" si="26"/>
        <v/>
      </c>
      <c r="K382" s="37" t="str">
        <f>IF(A382="","",Inputs!$B$11-B382)</f>
        <v/>
      </c>
      <c r="L382" s="5" t="str">
        <f>IF(A382="","",IF(I382&lt;=0,"Sold out",IF(K382&gt;=Inputs!$B$18,"Dead",IF(K382&gt;=Inputs!$B$17,"Ageing",IF(K382&gt;=Inputs!$B$16,"Watch","Fresh")))))</f>
        <v/>
      </c>
      <c r="M382" s="5" t="str">
        <f t="shared" si="27"/>
        <v/>
      </c>
      <c r="N382" s="12" t="str">
        <f t="shared" si="28"/>
        <v/>
      </c>
      <c r="O382" s="36" t="str">
        <f t="shared" si="29"/>
        <v/>
      </c>
    </row>
    <row r="383" spans="1:15" x14ac:dyDescent="0.25">
      <c r="A383" s="34"/>
      <c r="B383" s="33"/>
      <c r="C383" s="34"/>
      <c r="D383" s="34"/>
      <c r="E383" s="34"/>
      <c r="F383" s="34"/>
      <c r="G383" s="35"/>
      <c r="H383" s="34"/>
      <c r="I383" s="5" t="str">
        <f t="shared" si="25"/>
        <v/>
      </c>
      <c r="J383" s="12" t="str">
        <f t="shared" si="26"/>
        <v/>
      </c>
      <c r="K383" s="37" t="str">
        <f>IF(A383="","",Inputs!$B$11-B383)</f>
        <v/>
      </c>
      <c r="L383" s="5" t="str">
        <f>IF(A383="","",IF(I383&lt;=0,"Sold out",IF(K383&gt;=Inputs!$B$18,"Dead",IF(K383&gt;=Inputs!$B$17,"Ageing",IF(K383&gt;=Inputs!$B$16,"Watch","Fresh")))))</f>
        <v/>
      </c>
      <c r="M383" s="5" t="str">
        <f t="shared" si="27"/>
        <v/>
      </c>
      <c r="N383" s="12" t="str">
        <f t="shared" si="28"/>
        <v/>
      </c>
      <c r="O383" s="36" t="str">
        <f t="shared" si="29"/>
        <v/>
      </c>
    </row>
    <row r="384" spans="1:15" x14ac:dyDescent="0.25">
      <c r="A384" s="34"/>
      <c r="B384" s="33"/>
      <c r="C384" s="34"/>
      <c r="D384" s="34"/>
      <c r="E384" s="34"/>
      <c r="F384" s="34"/>
      <c r="G384" s="35"/>
      <c r="H384" s="34"/>
      <c r="I384" s="5" t="str">
        <f t="shared" si="25"/>
        <v/>
      </c>
      <c r="J384" s="12" t="str">
        <f t="shared" si="26"/>
        <v/>
      </c>
      <c r="K384" s="37" t="str">
        <f>IF(A384="","",Inputs!$B$11-B384)</f>
        <v/>
      </c>
      <c r="L384" s="5" t="str">
        <f>IF(A384="","",IF(I384&lt;=0,"Sold out",IF(K384&gt;=Inputs!$B$18,"Dead",IF(K384&gt;=Inputs!$B$17,"Ageing",IF(K384&gt;=Inputs!$B$16,"Watch","Fresh")))))</f>
        <v/>
      </c>
      <c r="M384" s="5" t="str">
        <f t="shared" si="27"/>
        <v/>
      </c>
      <c r="N384" s="12" t="str">
        <f t="shared" si="28"/>
        <v/>
      </c>
      <c r="O384" s="36" t="str">
        <f t="shared" si="29"/>
        <v/>
      </c>
    </row>
    <row r="385" spans="1:15" x14ac:dyDescent="0.25">
      <c r="A385" s="34"/>
      <c r="B385" s="33"/>
      <c r="C385" s="34"/>
      <c r="D385" s="34"/>
      <c r="E385" s="34"/>
      <c r="F385" s="34"/>
      <c r="G385" s="35"/>
      <c r="H385" s="34"/>
      <c r="I385" s="5" t="str">
        <f t="shared" si="25"/>
        <v/>
      </c>
      <c r="J385" s="12" t="str">
        <f t="shared" si="26"/>
        <v/>
      </c>
      <c r="K385" s="37" t="str">
        <f>IF(A385="","",Inputs!$B$11-B385)</f>
        <v/>
      </c>
      <c r="L385" s="5" t="str">
        <f>IF(A385="","",IF(I385&lt;=0,"Sold out",IF(K385&gt;=Inputs!$B$18,"Dead",IF(K385&gt;=Inputs!$B$17,"Ageing",IF(K385&gt;=Inputs!$B$16,"Watch","Fresh")))))</f>
        <v/>
      </c>
      <c r="M385" s="5" t="str">
        <f t="shared" si="27"/>
        <v/>
      </c>
      <c r="N385" s="12" t="str">
        <f t="shared" si="28"/>
        <v/>
      </c>
      <c r="O385" s="36" t="str">
        <f t="shared" si="29"/>
        <v/>
      </c>
    </row>
    <row r="386" spans="1:15" x14ac:dyDescent="0.25">
      <c r="A386" s="34"/>
      <c r="B386" s="33"/>
      <c r="C386" s="34"/>
      <c r="D386" s="34"/>
      <c r="E386" s="34"/>
      <c r="F386" s="34"/>
      <c r="G386" s="35"/>
      <c r="H386" s="34"/>
      <c r="I386" s="5" t="str">
        <f t="shared" si="25"/>
        <v/>
      </c>
      <c r="J386" s="12" t="str">
        <f t="shared" si="26"/>
        <v/>
      </c>
      <c r="K386" s="37" t="str">
        <f>IF(A386="","",Inputs!$B$11-B386)</f>
        <v/>
      </c>
      <c r="L386" s="5" t="str">
        <f>IF(A386="","",IF(I386&lt;=0,"Sold out",IF(K386&gt;=Inputs!$B$18,"Dead",IF(K386&gt;=Inputs!$B$17,"Ageing",IF(K386&gt;=Inputs!$B$16,"Watch","Fresh")))))</f>
        <v/>
      </c>
      <c r="M386" s="5" t="str">
        <f t="shared" si="27"/>
        <v/>
      </c>
      <c r="N386" s="12" t="str">
        <f t="shared" si="28"/>
        <v/>
      </c>
      <c r="O386" s="36" t="str">
        <f t="shared" si="29"/>
        <v/>
      </c>
    </row>
    <row r="387" spans="1:15" x14ac:dyDescent="0.25">
      <c r="A387" s="34"/>
      <c r="B387" s="33"/>
      <c r="C387" s="34"/>
      <c r="D387" s="34"/>
      <c r="E387" s="34"/>
      <c r="F387" s="34"/>
      <c r="G387" s="35"/>
      <c r="H387" s="34"/>
      <c r="I387" s="5" t="str">
        <f t="shared" si="25"/>
        <v/>
      </c>
      <c r="J387" s="12" t="str">
        <f t="shared" si="26"/>
        <v/>
      </c>
      <c r="K387" s="37" t="str">
        <f>IF(A387="","",Inputs!$B$11-B387)</f>
        <v/>
      </c>
      <c r="L387" s="5" t="str">
        <f>IF(A387="","",IF(I387&lt;=0,"Sold out",IF(K387&gt;=Inputs!$B$18,"Dead",IF(K387&gt;=Inputs!$B$17,"Ageing",IF(K387&gt;=Inputs!$B$16,"Watch","Fresh")))))</f>
        <v/>
      </c>
      <c r="M387" s="5" t="str">
        <f t="shared" si="27"/>
        <v/>
      </c>
      <c r="N387" s="12" t="str">
        <f t="shared" si="28"/>
        <v/>
      </c>
      <c r="O387" s="36" t="str">
        <f t="shared" si="29"/>
        <v/>
      </c>
    </row>
    <row r="388" spans="1:15" x14ac:dyDescent="0.25">
      <c r="A388" s="34"/>
      <c r="B388" s="33"/>
      <c r="C388" s="34"/>
      <c r="D388" s="34"/>
      <c r="E388" s="34"/>
      <c r="F388" s="34"/>
      <c r="G388" s="35"/>
      <c r="H388" s="34"/>
      <c r="I388" s="5" t="str">
        <f t="shared" si="25"/>
        <v/>
      </c>
      <c r="J388" s="12" t="str">
        <f t="shared" si="26"/>
        <v/>
      </c>
      <c r="K388" s="37" t="str">
        <f>IF(A388="","",Inputs!$B$11-B388)</f>
        <v/>
      </c>
      <c r="L388" s="5" t="str">
        <f>IF(A388="","",IF(I388&lt;=0,"Sold out",IF(K388&gt;=Inputs!$B$18,"Dead",IF(K388&gt;=Inputs!$B$17,"Ageing",IF(K388&gt;=Inputs!$B$16,"Watch","Fresh")))))</f>
        <v/>
      </c>
      <c r="M388" s="5" t="str">
        <f t="shared" si="27"/>
        <v/>
      </c>
      <c r="N388" s="12" t="str">
        <f t="shared" si="28"/>
        <v/>
      </c>
      <c r="O388" s="36" t="str">
        <f t="shared" si="29"/>
        <v/>
      </c>
    </row>
    <row r="389" spans="1:15" x14ac:dyDescent="0.25">
      <c r="A389" s="34"/>
      <c r="B389" s="33"/>
      <c r="C389" s="34"/>
      <c r="D389" s="34"/>
      <c r="E389" s="34"/>
      <c r="F389" s="34"/>
      <c r="G389" s="35"/>
      <c r="H389" s="34"/>
      <c r="I389" s="5" t="str">
        <f t="shared" si="25"/>
        <v/>
      </c>
      <c r="J389" s="12" t="str">
        <f t="shared" si="26"/>
        <v/>
      </c>
      <c r="K389" s="37" t="str">
        <f>IF(A389="","",Inputs!$B$11-B389)</f>
        <v/>
      </c>
      <c r="L389" s="5" t="str">
        <f>IF(A389="","",IF(I389&lt;=0,"Sold out",IF(K389&gt;=Inputs!$B$18,"Dead",IF(K389&gt;=Inputs!$B$17,"Ageing",IF(K389&gt;=Inputs!$B$16,"Watch","Fresh")))))</f>
        <v/>
      </c>
      <c r="M389" s="5" t="str">
        <f t="shared" si="27"/>
        <v/>
      </c>
      <c r="N389" s="12" t="str">
        <f t="shared" si="28"/>
        <v/>
      </c>
      <c r="O389" s="36" t="str">
        <f t="shared" si="29"/>
        <v/>
      </c>
    </row>
    <row r="390" spans="1:15" x14ac:dyDescent="0.25">
      <c r="A390" s="34"/>
      <c r="B390" s="33"/>
      <c r="C390" s="34"/>
      <c r="D390" s="34"/>
      <c r="E390" s="34"/>
      <c r="F390" s="34"/>
      <c r="G390" s="35"/>
      <c r="H390" s="34"/>
      <c r="I390" s="5" t="str">
        <f t="shared" ref="I390:I453" si="30">IF(A390="","",F390-H390)</f>
        <v/>
      </c>
      <c r="J390" s="12" t="str">
        <f t="shared" ref="J390:J453" si="31">IF(A390="","",I390*G390)</f>
        <v/>
      </c>
      <c r="K390" s="37" t="str">
        <f>IF(A390="","",Inputs!$B$11-B390)</f>
        <v/>
      </c>
      <c r="L390" s="5" t="str">
        <f>IF(A390="","",IF(I390&lt;=0,"Sold out",IF(K390&gt;=Inputs!$B$18,"Dead",IF(K390&gt;=Inputs!$B$17,"Ageing",IF(K390&gt;=Inputs!$B$16,"Watch","Fresh")))))</f>
        <v/>
      </c>
      <c r="M390" s="5" t="str">
        <f t="shared" ref="M390:M453" si="32">IF(L390="","",IF(L390="Dead","Clearance / exchange with vendor",IF(L390="Ageing","Markdown 20-30%",IF(L390="Watch","Push in reels &amp; WhatsApp broadcast",IF(L390="Fresh","OK","-")))))</f>
        <v/>
      </c>
      <c r="N390" s="12" t="str">
        <f t="shared" ref="N390:N453" si="33">IF(A390="","",F390*G390)</f>
        <v/>
      </c>
      <c r="O390" s="36" t="str">
        <f t="shared" ref="O390:O453" si="34">IF(B390="","",DATE(YEAR(B390),MONTH(B390),1))</f>
        <v/>
      </c>
    </row>
    <row r="391" spans="1:15" x14ac:dyDescent="0.25">
      <c r="A391" s="34"/>
      <c r="B391" s="33"/>
      <c r="C391" s="34"/>
      <c r="D391" s="34"/>
      <c r="E391" s="34"/>
      <c r="F391" s="34"/>
      <c r="G391" s="35"/>
      <c r="H391" s="34"/>
      <c r="I391" s="5" t="str">
        <f t="shared" si="30"/>
        <v/>
      </c>
      <c r="J391" s="12" t="str">
        <f t="shared" si="31"/>
        <v/>
      </c>
      <c r="K391" s="37" t="str">
        <f>IF(A391="","",Inputs!$B$11-B391)</f>
        <v/>
      </c>
      <c r="L391" s="5" t="str">
        <f>IF(A391="","",IF(I391&lt;=0,"Sold out",IF(K391&gt;=Inputs!$B$18,"Dead",IF(K391&gt;=Inputs!$B$17,"Ageing",IF(K391&gt;=Inputs!$B$16,"Watch","Fresh")))))</f>
        <v/>
      </c>
      <c r="M391" s="5" t="str">
        <f t="shared" si="32"/>
        <v/>
      </c>
      <c r="N391" s="12" t="str">
        <f t="shared" si="33"/>
        <v/>
      </c>
      <c r="O391" s="36" t="str">
        <f t="shared" si="34"/>
        <v/>
      </c>
    </row>
    <row r="392" spans="1:15" x14ac:dyDescent="0.25">
      <c r="A392" s="34"/>
      <c r="B392" s="33"/>
      <c r="C392" s="34"/>
      <c r="D392" s="34"/>
      <c r="E392" s="34"/>
      <c r="F392" s="34"/>
      <c r="G392" s="35"/>
      <c r="H392" s="34"/>
      <c r="I392" s="5" t="str">
        <f t="shared" si="30"/>
        <v/>
      </c>
      <c r="J392" s="12" t="str">
        <f t="shared" si="31"/>
        <v/>
      </c>
      <c r="K392" s="37" t="str">
        <f>IF(A392="","",Inputs!$B$11-B392)</f>
        <v/>
      </c>
      <c r="L392" s="5" t="str">
        <f>IF(A392="","",IF(I392&lt;=0,"Sold out",IF(K392&gt;=Inputs!$B$18,"Dead",IF(K392&gt;=Inputs!$B$17,"Ageing",IF(K392&gt;=Inputs!$B$16,"Watch","Fresh")))))</f>
        <v/>
      </c>
      <c r="M392" s="5" t="str">
        <f t="shared" si="32"/>
        <v/>
      </c>
      <c r="N392" s="12" t="str">
        <f t="shared" si="33"/>
        <v/>
      </c>
      <c r="O392" s="36" t="str">
        <f t="shared" si="34"/>
        <v/>
      </c>
    </row>
    <row r="393" spans="1:15" x14ac:dyDescent="0.25">
      <c r="A393" s="34"/>
      <c r="B393" s="33"/>
      <c r="C393" s="34"/>
      <c r="D393" s="34"/>
      <c r="E393" s="34"/>
      <c r="F393" s="34"/>
      <c r="G393" s="35"/>
      <c r="H393" s="34"/>
      <c r="I393" s="5" t="str">
        <f t="shared" si="30"/>
        <v/>
      </c>
      <c r="J393" s="12" t="str">
        <f t="shared" si="31"/>
        <v/>
      </c>
      <c r="K393" s="37" t="str">
        <f>IF(A393="","",Inputs!$B$11-B393)</f>
        <v/>
      </c>
      <c r="L393" s="5" t="str">
        <f>IF(A393="","",IF(I393&lt;=0,"Sold out",IF(K393&gt;=Inputs!$B$18,"Dead",IF(K393&gt;=Inputs!$B$17,"Ageing",IF(K393&gt;=Inputs!$B$16,"Watch","Fresh")))))</f>
        <v/>
      </c>
      <c r="M393" s="5" t="str">
        <f t="shared" si="32"/>
        <v/>
      </c>
      <c r="N393" s="12" t="str">
        <f t="shared" si="33"/>
        <v/>
      </c>
      <c r="O393" s="36" t="str">
        <f t="shared" si="34"/>
        <v/>
      </c>
    </row>
    <row r="394" spans="1:15" x14ac:dyDescent="0.25">
      <c r="A394" s="34"/>
      <c r="B394" s="33"/>
      <c r="C394" s="34"/>
      <c r="D394" s="34"/>
      <c r="E394" s="34"/>
      <c r="F394" s="34"/>
      <c r="G394" s="35"/>
      <c r="H394" s="34"/>
      <c r="I394" s="5" t="str">
        <f t="shared" si="30"/>
        <v/>
      </c>
      <c r="J394" s="12" t="str">
        <f t="shared" si="31"/>
        <v/>
      </c>
      <c r="K394" s="37" t="str">
        <f>IF(A394="","",Inputs!$B$11-B394)</f>
        <v/>
      </c>
      <c r="L394" s="5" t="str">
        <f>IF(A394="","",IF(I394&lt;=0,"Sold out",IF(K394&gt;=Inputs!$B$18,"Dead",IF(K394&gt;=Inputs!$B$17,"Ageing",IF(K394&gt;=Inputs!$B$16,"Watch","Fresh")))))</f>
        <v/>
      </c>
      <c r="M394" s="5" t="str">
        <f t="shared" si="32"/>
        <v/>
      </c>
      <c r="N394" s="12" t="str">
        <f t="shared" si="33"/>
        <v/>
      </c>
      <c r="O394" s="36" t="str">
        <f t="shared" si="34"/>
        <v/>
      </c>
    </row>
    <row r="395" spans="1:15" x14ac:dyDescent="0.25">
      <c r="A395" s="34"/>
      <c r="B395" s="33"/>
      <c r="C395" s="34"/>
      <c r="D395" s="34"/>
      <c r="E395" s="34"/>
      <c r="F395" s="34"/>
      <c r="G395" s="35"/>
      <c r="H395" s="34"/>
      <c r="I395" s="5" t="str">
        <f t="shared" si="30"/>
        <v/>
      </c>
      <c r="J395" s="12" t="str">
        <f t="shared" si="31"/>
        <v/>
      </c>
      <c r="K395" s="37" t="str">
        <f>IF(A395="","",Inputs!$B$11-B395)</f>
        <v/>
      </c>
      <c r="L395" s="5" t="str">
        <f>IF(A395="","",IF(I395&lt;=0,"Sold out",IF(K395&gt;=Inputs!$B$18,"Dead",IF(K395&gt;=Inputs!$B$17,"Ageing",IF(K395&gt;=Inputs!$B$16,"Watch","Fresh")))))</f>
        <v/>
      </c>
      <c r="M395" s="5" t="str">
        <f t="shared" si="32"/>
        <v/>
      </c>
      <c r="N395" s="12" t="str">
        <f t="shared" si="33"/>
        <v/>
      </c>
      <c r="O395" s="36" t="str">
        <f t="shared" si="34"/>
        <v/>
      </c>
    </row>
    <row r="396" spans="1:15" x14ac:dyDescent="0.25">
      <c r="A396" s="34"/>
      <c r="B396" s="33"/>
      <c r="C396" s="34"/>
      <c r="D396" s="34"/>
      <c r="E396" s="34"/>
      <c r="F396" s="34"/>
      <c r="G396" s="35"/>
      <c r="H396" s="34"/>
      <c r="I396" s="5" t="str">
        <f t="shared" si="30"/>
        <v/>
      </c>
      <c r="J396" s="12" t="str">
        <f t="shared" si="31"/>
        <v/>
      </c>
      <c r="K396" s="37" t="str">
        <f>IF(A396="","",Inputs!$B$11-B396)</f>
        <v/>
      </c>
      <c r="L396" s="5" t="str">
        <f>IF(A396="","",IF(I396&lt;=0,"Sold out",IF(K396&gt;=Inputs!$B$18,"Dead",IF(K396&gt;=Inputs!$B$17,"Ageing",IF(K396&gt;=Inputs!$B$16,"Watch","Fresh")))))</f>
        <v/>
      </c>
      <c r="M396" s="5" t="str">
        <f t="shared" si="32"/>
        <v/>
      </c>
      <c r="N396" s="12" t="str">
        <f t="shared" si="33"/>
        <v/>
      </c>
      <c r="O396" s="36" t="str">
        <f t="shared" si="34"/>
        <v/>
      </c>
    </row>
    <row r="397" spans="1:15" x14ac:dyDescent="0.25">
      <c r="A397" s="34"/>
      <c r="B397" s="33"/>
      <c r="C397" s="34"/>
      <c r="D397" s="34"/>
      <c r="E397" s="34"/>
      <c r="F397" s="34"/>
      <c r="G397" s="35"/>
      <c r="H397" s="34"/>
      <c r="I397" s="5" t="str">
        <f t="shared" si="30"/>
        <v/>
      </c>
      <c r="J397" s="12" t="str">
        <f t="shared" si="31"/>
        <v/>
      </c>
      <c r="K397" s="37" t="str">
        <f>IF(A397="","",Inputs!$B$11-B397)</f>
        <v/>
      </c>
      <c r="L397" s="5" t="str">
        <f>IF(A397="","",IF(I397&lt;=0,"Sold out",IF(K397&gt;=Inputs!$B$18,"Dead",IF(K397&gt;=Inputs!$B$17,"Ageing",IF(K397&gt;=Inputs!$B$16,"Watch","Fresh")))))</f>
        <v/>
      </c>
      <c r="M397" s="5" t="str">
        <f t="shared" si="32"/>
        <v/>
      </c>
      <c r="N397" s="12" t="str">
        <f t="shared" si="33"/>
        <v/>
      </c>
      <c r="O397" s="36" t="str">
        <f t="shared" si="34"/>
        <v/>
      </c>
    </row>
    <row r="398" spans="1:15" x14ac:dyDescent="0.25">
      <c r="A398" s="34"/>
      <c r="B398" s="33"/>
      <c r="C398" s="34"/>
      <c r="D398" s="34"/>
      <c r="E398" s="34"/>
      <c r="F398" s="34"/>
      <c r="G398" s="35"/>
      <c r="H398" s="34"/>
      <c r="I398" s="5" t="str">
        <f t="shared" si="30"/>
        <v/>
      </c>
      <c r="J398" s="12" t="str">
        <f t="shared" si="31"/>
        <v/>
      </c>
      <c r="K398" s="37" t="str">
        <f>IF(A398="","",Inputs!$B$11-B398)</f>
        <v/>
      </c>
      <c r="L398" s="5" t="str">
        <f>IF(A398="","",IF(I398&lt;=0,"Sold out",IF(K398&gt;=Inputs!$B$18,"Dead",IF(K398&gt;=Inputs!$B$17,"Ageing",IF(K398&gt;=Inputs!$B$16,"Watch","Fresh")))))</f>
        <v/>
      </c>
      <c r="M398" s="5" t="str">
        <f t="shared" si="32"/>
        <v/>
      </c>
      <c r="N398" s="12" t="str">
        <f t="shared" si="33"/>
        <v/>
      </c>
      <c r="O398" s="36" t="str">
        <f t="shared" si="34"/>
        <v/>
      </c>
    </row>
    <row r="399" spans="1:15" x14ac:dyDescent="0.25">
      <c r="A399" s="34"/>
      <c r="B399" s="33"/>
      <c r="C399" s="34"/>
      <c r="D399" s="34"/>
      <c r="E399" s="34"/>
      <c r="F399" s="34"/>
      <c r="G399" s="35"/>
      <c r="H399" s="34"/>
      <c r="I399" s="5" t="str">
        <f t="shared" si="30"/>
        <v/>
      </c>
      <c r="J399" s="12" t="str">
        <f t="shared" si="31"/>
        <v/>
      </c>
      <c r="K399" s="37" t="str">
        <f>IF(A399="","",Inputs!$B$11-B399)</f>
        <v/>
      </c>
      <c r="L399" s="5" t="str">
        <f>IF(A399="","",IF(I399&lt;=0,"Sold out",IF(K399&gt;=Inputs!$B$18,"Dead",IF(K399&gt;=Inputs!$B$17,"Ageing",IF(K399&gt;=Inputs!$B$16,"Watch","Fresh")))))</f>
        <v/>
      </c>
      <c r="M399" s="5" t="str">
        <f t="shared" si="32"/>
        <v/>
      </c>
      <c r="N399" s="12" t="str">
        <f t="shared" si="33"/>
        <v/>
      </c>
      <c r="O399" s="36" t="str">
        <f t="shared" si="34"/>
        <v/>
      </c>
    </row>
    <row r="400" spans="1:15" x14ac:dyDescent="0.25">
      <c r="A400" s="34"/>
      <c r="B400" s="33"/>
      <c r="C400" s="34"/>
      <c r="D400" s="34"/>
      <c r="E400" s="34"/>
      <c r="F400" s="34"/>
      <c r="G400" s="35"/>
      <c r="H400" s="34"/>
      <c r="I400" s="5" t="str">
        <f t="shared" si="30"/>
        <v/>
      </c>
      <c r="J400" s="12" t="str">
        <f t="shared" si="31"/>
        <v/>
      </c>
      <c r="K400" s="37" t="str">
        <f>IF(A400="","",Inputs!$B$11-B400)</f>
        <v/>
      </c>
      <c r="L400" s="5" t="str">
        <f>IF(A400="","",IF(I400&lt;=0,"Sold out",IF(K400&gt;=Inputs!$B$18,"Dead",IF(K400&gt;=Inputs!$B$17,"Ageing",IF(K400&gt;=Inputs!$B$16,"Watch","Fresh")))))</f>
        <v/>
      </c>
      <c r="M400" s="5" t="str">
        <f t="shared" si="32"/>
        <v/>
      </c>
      <c r="N400" s="12" t="str">
        <f t="shared" si="33"/>
        <v/>
      </c>
      <c r="O400" s="36" t="str">
        <f t="shared" si="34"/>
        <v/>
      </c>
    </row>
    <row r="401" spans="1:15" x14ac:dyDescent="0.25">
      <c r="A401" s="34"/>
      <c r="B401" s="33"/>
      <c r="C401" s="34"/>
      <c r="D401" s="34"/>
      <c r="E401" s="34"/>
      <c r="F401" s="34"/>
      <c r="G401" s="35"/>
      <c r="H401" s="34"/>
      <c r="I401" s="5" t="str">
        <f t="shared" si="30"/>
        <v/>
      </c>
      <c r="J401" s="12" t="str">
        <f t="shared" si="31"/>
        <v/>
      </c>
      <c r="K401" s="37" t="str">
        <f>IF(A401="","",Inputs!$B$11-B401)</f>
        <v/>
      </c>
      <c r="L401" s="5" t="str">
        <f>IF(A401="","",IF(I401&lt;=0,"Sold out",IF(K401&gt;=Inputs!$B$18,"Dead",IF(K401&gt;=Inputs!$B$17,"Ageing",IF(K401&gt;=Inputs!$B$16,"Watch","Fresh")))))</f>
        <v/>
      </c>
      <c r="M401" s="5" t="str">
        <f t="shared" si="32"/>
        <v/>
      </c>
      <c r="N401" s="12" t="str">
        <f t="shared" si="33"/>
        <v/>
      </c>
      <c r="O401" s="36" t="str">
        <f t="shared" si="34"/>
        <v/>
      </c>
    </row>
    <row r="402" spans="1:15" x14ac:dyDescent="0.25">
      <c r="A402" s="34"/>
      <c r="B402" s="33"/>
      <c r="C402" s="34"/>
      <c r="D402" s="34"/>
      <c r="E402" s="34"/>
      <c r="F402" s="34"/>
      <c r="G402" s="35"/>
      <c r="H402" s="34"/>
      <c r="I402" s="5" t="str">
        <f t="shared" si="30"/>
        <v/>
      </c>
      <c r="J402" s="12" t="str">
        <f t="shared" si="31"/>
        <v/>
      </c>
      <c r="K402" s="37" t="str">
        <f>IF(A402="","",Inputs!$B$11-B402)</f>
        <v/>
      </c>
      <c r="L402" s="5" t="str">
        <f>IF(A402="","",IF(I402&lt;=0,"Sold out",IF(K402&gt;=Inputs!$B$18,"Dead",IF(K402&gt;=Inputs!$B$17,"Ageing",IF(K402&gt;=Inputs!$B$16,"Watch","Fresh")))))</f>
        <v/>
      </c>
      <c r="M402" s="5" t="str">
        <f t="shared" si="32"/>
        <v/>
      </c>
      <c r="N402" s="12" t="str">
        <f t="shared" si="33"/>
        <v/>
      </c>
      <c r="O402" s="36" t="str">
        <f t="shared" si="34"/>
        <v/>
      </c>
    </row>
    <row r="403" spans="1:15" x14ac:dyDescent="0.25">
      <c r="A403" s="34"/>
      <c r="B403" s="33"/>
      <c r="C403" s="34"/>
      <c r="D403" s="34"/>
      <c r="E403" s="34"/>
      <c r="F403" s="34"/>
      <c r="G403" s="35"/>
      <c r="H403" s="34"/>
      <c r="I403" s="5" t="str">
        <f t="shared" si="30"/>
        <v/>
      </c>
      <c r="J403" s="12" t="str">
        <f t="shared" si="31"/>
        <v/>
      </c>
      <c r="K403" s="37" t="str">
        <f>IF(A403="","",Inputs!$B$11-B403)</f>
        <v/>
      </c>
      <c r="L403" s="5" t="str">
        <f>IF(A403="","",IF(I403&lt;=0,"Sold out",IF(K403&gt;=Inputs!$B$18,"Dead",IF(K403&gt;=Inputs!$B$17,"Ageing",IF(K403&gt;=Inputs!$B$16,"Watch","Fresh")))))</f>
        <v/>
      </c>
      <c r="M403" s="5" t="str">
        <f t="shared" si="32"/>
        <v/>
      </c>
      <c r="N403" s="12" t="str">
        <f t="shared" si="33"/>
        <v/>
      </c>
      <c r="O403" s="36" t="str">
        <f t="shared" si="34"/>
        <v/>
      </c>
    </row>
    <row r="404" spans="1:15" x14ac:dyDescent="0.25">
      <c r="A404" s="34"/>
      <c r="B404" s="33"/>
      <c r="C404" s="34"/>
      <c r="D404" s="34"/>
      <c r="E404" s="34"/>
      <c r="F404" s="34"/>
      <c r="G404" s="35"/>
      <c r="H404" s="34"/>
      <c r="I404" s="5" t="str">
        <f t="shared" si="30"/>
        <v/>
      </c>
      <c r="J404" s="12" t="str">
        <f t="shared" si="31"/>
        <v/>
      </c>
      <c r="K404" s="37" t="str">
        <f>IF(A404="","",Inputs!$B$11-B404)</f>
        <v/>
      </c>
      <c r="L404" s="5" t="str">
        <f>IF(A404="","",IF(I404&lt;=0,"Sold out",IF(K404&gt;=Inputs!$B$18,"Dead",IF(K404&gt;=Inputs!$B$17,"Ageing",IF(K404&gt;=Inputs!$B$16,"Watch","Fresh")))))</f>
        <v/>
      </c>
      <c r="M404" s="5" t="str">
        <f t="shared" si="32"/>
        <v/>
      </c>
      <c r="N404" s="12" t="str">
        <f t="shared" si="33"/>
        <v/>
      </c>
      <c r="O404" s="36" t="str">
        <f t="shared" si="34"/>
        <v/>
      </c>
    </row>
    <row r="405" spans="1:15" x14ac:dyDescent="0.25">
      <c r="A405" s="34"/>
      <c r="B405" s="33"/>
      <c r="C405" s="34"/>
      <c r="D405" s="34"/>
      <c r="E405" s="34"/>
      <c r="F405" s="34"/>
      <c r="G405" s="35"/>
      <c r="H405" s="34"/>
      <c r="I405" s="5" t="str">
        <f t="shared" si="30"/>
        <v/>
      </c>
      <c r="J405" s="12" t="str">
        <f t="shared" si="31"/>
        <v/>
      </c>
      <c r="K405" s="37" t="str">
        <f>IF(A405="","",Inputs!$B$11-B405)</f>
        <v/>
      </c>
      <c r="L405" s="5" t="str">
        <f>IF(A405="","",IF(I405&lt;=0,"Sold out",IF(K405&gt;=Inputs!$B$18,"Dead",IF(K405&gt;=Inputs!$B$17,"Ageing",IF(K405&gt;=Inputs!$B$16,"Watch","Fresh")))))</f>
        <v/>
      </c>
      <c r="M405" s="5" t="str">
        <f t="shared" si="32"/>
        <v/>
      </c>
      <c r="N405" s="12" t="str">
        <f t="shared" si="33"/>
        <v/>
      </c>
      <c r="O405" s="36" t="str">
        <f t="shared" si="34"/>
        <v/>
      </c>
    </row>
    <row r="406" spans="1:15" x14ac:dyDescent="0.25">
      <c r="A406" s="34"/>
      <c r="B406" s="33"/>
      <c r="C406" s="34"/>
      <c r="D406" s="34"/>
      <c r="E406" s="34"/>
      <c r="F406" s="34"/>
      <c r="G406" s="35"/>
      <c r="H406" s="34"/>
      <c r="I406" s="5" t="str">
        <f t="shared" si="30"/>
        <v/>
      </c>
      <c r="J406" s="12" t="str">
        <f t="shared" si="31"/>
        <v/>
      </c>
      <c r="K406" s="37" t="str">
        <f>IF(A406="","",Inputs!$B$11-B406)</f>
        <v/>
      </c>
      <c r="L406" s="5" t="str">
        <f>IF(A406="","",IF(I406&lt;=0,"Sold out",IF(K406&gt;=Inputs!$B$18,"Dead",IF(K406&gt;=Inputs!$B$17,"Ageing",IF(K406&gt;=Inputs!$B$16,"Watch","Fresh")))))</f>
        <v/>
      </c>
      <c r="M406" s="5" t="str">
        <f t="shared" si="32"/>
        <v/>
      </c>
      <c r="N406" s="12" t="str">
        <f t="shared" si="33"/>
        <v/>
      </c>
      <c r="O406" s="36" t="str">
        <f t="shared" si="34"/>
        <v/>
      </c>
    </row>
    <row r="407" spans="1:15" x14ac:dyDescent="0.25">
      <c r="A407" s="34"/>
      <c r="B407" s="33"/>
      <c r="C407" s="34"/>
      <c r="D407" s="34"/>
      <c r="E407" s="34"/>
      <c r="F407" s="34"/>
      <c r="G407" s="35"/>
      <c r="H407" s="34"/>
      <c r="I407" s="5" t="str">
        <f t="shared" si="30"/>
        <v/>
      </c>
      <c r="J407" s="12" t="str">
        <f t="shared" si="31"/>
        <v/>
      </c>
      <c r="K407" s="37" t="str">
        <f>IF(A407="","",Inputs!$B$11-B407)</f>
        <v/>
      </c>
      <c r="L407" s="5" t="str">
        <f>IF(A407="","",IF(I407&lt;=0,"Sold out",IF(K407&gt;=Inputs!$B$18,"Dead",IF(K407&gt;=Inputs!$B$17,"Ageing",IF(K407&gt;=Inputs!$B$16,"Watch","Fresh")))))</f>
        <v/>
      </c>
      <c r="M407" s="5" t="str">
        <f t="shared" si="32"/>
        <v/>
      </c>
      <c r="N407" s="12" t="str">
        <f t="shared" si="33"/>
        <v/>
      </c>
      <c r="O407" s="36" t="str">
        <f t="shared" si="34"/>
        <v/>
      </c>
    </row>
    <row r="408" spans="1:15" x14ac:dyDescent="0.25">
      <c r="A408" s="34"/>
      <c r="B408" s="33"/>
      <c r="C408" s="34"/>
      <c r="D408" s="34"/>
      <c r="E408" s="34"/>
      <c r="F408" s="34"/>
      <c r="G408" s="35"/>
      <c r="H408" s="34"/>
      <c r="I408" s="5" t="str">
        <f t="shared" si="30"/>
        <v/>
      </c>
      <c r="J408" s="12" t="str">
        <f t="shared" si="31"/>
        <v/>
      </c>
      <c r="K408" s="37" t="str">
        <f>IF(A408="","",Inputs!$B$11-B408)</f>
        <v/>
      </c>
      <c r="L408" s="5" t="str">
        <f>IF(A408="","",IF(I408&lt;=0,"Sold out",IF(K408&gt;=Inputs!$B$18,"Dead",IF(K408&gt;=Inputs!$B$17,"Ageing",IF(K408&gt;=Inputs!$B$16,"Watch","Fresh")))))</f>
        <v/>
      </c>
      <c r="M408" s="5" t="str">
        <f t="shared" si="32"/>
        <v/>
      </c>
      <c r="N408" s="12" t="str">
        <f t="shared" si="33"/>
        <v/>
      </c>
      <c r="O408" s="36" t="str">
        <f t="shared" si="34"/>
        <v/>
      </c>
    </row>
    <row r="409" spans="1:15" x14ac:dyDescent="0.25">
      <c r="A409" s="34"/>
      <c r="B409" s="33"/>
      <c r="C409" s="34"/>
      <c r="D409" s="34"/>
      <c r="E409" s="34"/>
      <c r="F409" s="34"/>
      <c r="G409" s="35"/>
      <c r="H409" s="34"/>
      <c r="I409" s="5" t="str">
        <f t="shared" si="30"/>
        <v/>
      </c>
      <c r="J409" s="12" t="str">
        <f t="shared" si="31"/>
        <v/>
      </c>
      <c r="K409" s="37" t="str">
        <f>IF(A409="","",Inputs!$B$11-B409)</f>
        <v/>
      </c>
      <c r="L409" s="5" t="str">
        <f>IF(A409="","",IF(I409&lt;=0,"Sold out",IF(K409&gt;=Inputs!$B$18,"Dead",IF(K409&gt;=Inputs!$B$17,"Ageing",IF(K409&gt;=Inputs!$B$16,"Watch","Fresh")))))</f>
        <v/>
      </c>
      <c r="M409" s="5" t="str">
        <f t="shared" si="32"/>
        <v/>
      </c>
      <c r="N409" s="12" t="str">
        <f t="shared" si="33"/>
        <v/>
      </c>
      <c r="O409" s="36" t="str">
        <f t="shared" si="34"/>
        <v/>
      </c>
    </row>
    <row r="410" spans="1:15" x14ac:dyDescent="0.25">
      <c r="A410" s="34"/>
      <c r="B410" s="33"/>
      <c r="C410" s="34"/>
      <c r="D410" s="34"/>
      <c r="E410" s="34"/>
      <c r="F410" s="34"/>
      <c r="G410" s="35"/>
      <c r="H410" s="34"/>
      <c r="I410" s="5" t="str">
        <f t="shared" si="30"/>
        <v/>
      </c>
      <c r="J410" s="12" t="str">
        <f t="shared" si="31"/>
        <v/>
      </c>
      <c r="K410" s="37" t="str">
        <f>IF(A410="","",Inputs!$B$11-B410)</f>
        <v/>
      </c>
      <c r="L410" s="5" t="str">
        <f>IF(A410="","",IF(I410&lt;=0,"Sold out",IF(K410&gt;=Inputs!$B$18,"Dead",IF(K410&gt;=Inputs!$B$17,"Ageing",IF(K410&gt;=Inputs!$B$16,"Watch","Fresh")))))</f>
        <v/>
      </c>
      <c r="M410" s="5" t="str">
        <f t="shared" si="32"/>
        <v/>
      </c>
      <c r="N410" s="12" t="str">
        <f t="shared" si="33"/>
        <v/>
      </c>
      <c r="O410" s="36" t="str">
        <f t="shared" si="34"/>
        <v/>
      </c>
    </row>
    <row r="411" spans="1:15" x14ac:dyDescent="0.25">
      <c r="A411" s="34"/>
      <c r="B411" s="33"/>
      <c r="C411" s="34"/>
      <c r="D411" s="34"/>
      <c r="E411" s="34"/>
      <c r="F411" s="34"/>
      <c r="G411" s="35"/>
      <c r="H411" s="34"/>
      <c r="I411" s="5" t="str">
        <f t="shared" si="30"/>
        <v/>
      </c>
      <c r="J411" s="12" t="str">
        <f t="shared" si="31"/>
        <v/>
      </c>
      <c r="K411" s="37" t="str">
        <f>IF(A411="","",Inputs!$B$11-B411)</f>
        <v/>
      </c>
      <c r="L411" s="5" t="str">
        <f>IF(A411="","",IF(I411&lt;=0,"Sold out",IF(K411&gt;=Inputs!$B$18,"Dead",IF(K411&gt;=Inputs!$B$17,"Ageing",IF(K411&gt;=Inputs!$B$16,"Watch","Fresh")))))</f>
        <v/>
      </c>
      <c r="M411" s="5" t="str">
        <f t="shared" si="32"/>
        <v/>
      </c>
      <c r="N411" s="12" t="str">
        <f t="shared" si="33"/>
        <v/>
      </c>
      <c r="O411" s="36" t="str">
        <f t="shared" si="34"/>
        <v/>
      </c>
    </row>
    <row r="412" spans="1:15" x14ac:dyDescent="0.25">
      <c r="A412" s="34"/>
      <c r="B412" s="33"/>
      <c r="C412" s="34"/>
      <c r="D412" s="34"/>
      <c r="E412" s="34"/>
      <c r="F412" s="34"/>
      <c r="G412" s="35"/>
      <c r="H412" s="34"/>
      <c r="I412" s="5" t="str">
        <f t="shared" si="30"/>
        <v/>
      </c>
      <c r="J412" s="12" t="str">
        <f t="shared" si="31"/>
        <v/>
      </c>
      <c r="K412" s="37" t="str">
        <f>IF(A412="","",Inputs!$B$11-B412)</f>
        <v/>
      </c>
      <c r="L412" s="5" t="str">
        <f>IF(A412="","",IF(I412&lt;=0,"Sold out",IF(K412&gt;=Inputs!$B$18,"Dead",IF(K412&gt;=Inputs!$B$17,"Ageing",IF(K412&gt;=Inputs!$B$16,"Watch","Fresh")))))</f>
        <v/>
      </c>
      <c r="M412" s="5" t="str">
        <f t="shared" si="32"/>
        <v/>
      </c>
      <c r="N412" s="12" t="str">
        <f t="shared" si="33"/>
        <v/>
      </c>
      <c r="O412" s="36" t="str">
        <f t="shared" si="34"/>
        <v/>
      </c>
    </row>
    <row r="413" spans="1:15" x14ac:dyDescent="0.25">
      <c r="A413" s="34"/>
      <c r="B413" s="33"/>
      <c r="C413" s="34"/>
      <c r="D413" s="34"/>
      <c r="E413" s="34"/>
      <c r="F413" s="34"/>
      <c r="G413" s="35"/>
      <c r="H413" s="34"/>
      <c r="I413" s="5" t="str">
        <f t="shared" si="30"/>
        <v/>
      </c>
      <c r="J413" s="12" t="str">
        <f t="shared" si="31"/>
        <v/>
      </c>
      <c r="K413" s="37" t="str">
        <f>IF(A413="","",Inputs!$B$11-B413)</f>
        <v/>
      </c>
      <c r="L413" s="5" t="str">
        <f>IF(A413="","",IF(I413&lt;=0,"Sold out",IF(K413&gt;=Inputs!$B$18,"Dead",IF(K413&gt;=Inputs!$B$17,"Ageing",IF(K413&gt;=Inputs!$B$16,"Watch","Fresh")))))</f>
        <v/>
      </c>
      <c r="M413" s="5" t="str">
        <f t="shared" si="32"/>
        <v/>
      </c>
      <c r="N413" s="12" t="str">
        <f t="shared" si="33"/>
        <v/>
      </c>
      <c r="O413" s="36" t="str">
        <f t="shared" si="34"/>
        <v/>
      </c>
    </row>
    <row r="414" spans="1:15" x14ac:dyDescent="0.25">
      <c r="A414" s="34"/>
      <c r="B414" s="33"/>
      <c r="C414" s="34"/>
      <c r="D414" s="34"/>
      <c r="E414" s="34"/>
      <c r="F414" s="34"/>
      <c r="G414" s="35"/>
      <c r="H414" s="34"/>
      <c r="I414" s="5" t="str">
        <f t="shared" si="30"/>
        <v/>
      </c>
      <c r="J414" s="12" t="str">
        <f t="shared" si="31"/>
        <v/>
      </c>
      <c r="K414" s="37" t="str">
        <f>IF(A414="","",Inputs!$B$11-B414)</f>
        <v/>
      </c>
      <c r="L414" s="5" t="str">
        <f>IF(A414="","",IF(I414&lt;=0,"Sold out",IF(K414&gt;=Inputs!$B$18,"Dead",IF(K414&gt;=Inputs!$B$17,"Ageing",IF(K414&gt;=Inputs!$B$16,"Watch","Fresh")))))</f>
        <v/>
      </c>
      <c r="M414" s="5" t="str">
        <f t="shared" si="32"/>
        <v/>
      </c>
      <c r="N414" s="12" t="str">
        <f t="shared" si="33"/>
        <v/>
      </c>
      <c r="O414" s="36" t="str">
        <f t="shared" si="34"/>
        <v/>
      </c>
    </row>
    <row r="415" spans="1:15" x14ac:dyDescent="0.25">
      <c r="A415" s="34"/>
      <c r="B415" s="33"/>
      <c r="C415" s="34"/>
      <c r="D415" s="34"/>
      <c r="E415" s="34"/>
      <c r="F415" s="34"/>
      <c r="G415" s="35"/>
      <c r="H415" s="34"/>
      <c r="I415" s="5" t="str">
        <f t="shared" si="30"/>
        <v/>
      </c>
      <c r="J415" s="12" t="str">
        <f t="shared" si="31"/>
        <v/>
      </c>
      <c r="K415" s="37" t="str">
        <f>IF(A415="","",Inputs!$B$11-B415)</f>
        <v/>
      </c>
      <c r="L415" s="5" t="str">
        <f>IF(A415="","",IF(I415&lt;=0,"Sold out",IF(K415&gt;=Inputs!$B$18,"Dead",IF(K415&gt;=Inputs!$B$17,"Ageing",IF(K415&gt;=Inputs!$B$16,"Watch","Fresh")))))</f>
        <v/>
      </c>
      <c r="M415" s="5" t="str">
        <f t="shared" si="32"/>
        <v/>
      </c>
      <c r="N415" s="12" t="str">
        <f t="shared" si="33"/>
        <v/>
      </c>
      <c r="O415" s="36" t="str">
        <f t="shared" si="34"/>
        <v/>
      </c>
    </row>
    <row r="416" spans="1:15" x14ac:dyDescent="0.25">
      <c r="A416" s="34"/>
      <c r="B416" s="33"/>
      <c r="C416" s="34"/>
      <c r="D416" s="34"/>
      <c r="E416" s="34"/>
      <c r="F416" s="34"/>
      <c r="G416" s="35"/>
      <c r="H416" s="34"/>
      <c r="I416" s="5" t="str">
        <f t="shared" si="30"/>
        <v/>
      </c>
      <c r="J416" s="12" t="str">
        <f t="shared" si="31"/>
        <v/>
      </c>
      <c r="K416" s="37" t="str">
        <f>IF(A416="","",Inputs!$B$11-B416)</f>
        <v/>
      </c>
      <c r="L416" s="5" t="str">
        <f>IF(A416="","",IF(I416&lt;=0,"Sold out",IF(K416&gt;=Inputs!$B$18,"Dead",IF(K416&gt;=Inputs!$B$17,"Ageing",IF(K416&gt;=Inputs!$B$16,"Watch","Fresh")))))</f>
        <v/>
      </c>
      <c r="M416" s="5" t="str">
        <f t="shared" si="32"/>
        <v/>
      </c>
      <c r="N416" s="12" t="str">
        <f t="shared" si="33"/>
        <v/>
      </c>
      <c r="O416" s="36" t="str">
        <f t="shared" si="34"/>
        <v/>
      </c>
    </row>
    <row r="417" spans="1:15" x14ac:dyDescent="0.25">
      <c r="A417" s="34"/>
      <c r="B417" s="33"/>
      <c r="C417" s="34"/>
      <c r="D417" s="34"/>
      <c r="E417" s="34"/>
      <c r="F417" s="34"/>
      <c r="G417" s="35"/>
      <c r="H417" s="34"/>
      <c r="I417" s="5" t="str">
        <f t="shared" si="30"/>
        <v/>
      </c>
      <c r="J417" s="12" t="str">
        <f t="shared" si="31"/>
        <v/>
      </c>
      <c r="K417" s="37" t="str">
        <f>IF(A417="","",Inputs!$B$11-B417)</f>
        <v/>
      </c>
      <c r="L417" s="5" t="str">
        <f>IF(A417="","",IF(I417&lt;=0,"Sold out",IF(K417&gt;=Inputs!$B$18,"Dead",IF(K417&gt;=Inputs!$B$17,"Ageing",IF(K417&gt;=Inputs!$B$16,"Watch","Fresh")))))</f>
        <v/>
      </c>
      <c r="M417" s="5" t="str">
        <f t="shared" si="32"/>
        <v/>
      </c>
      <c r="N417" s="12" t="str">
        <f t="shared" si="33"/>
        <v/>
      </c>
      <c r="O417" s="36" t="str">
        <f t="shared" si="34"/>
        <v/>
      </c>
    </row>
    <row r="418" spans="1:15" x14ac:dyDescent="0.25">
      <c r="A418" s="34"/>
      <c r="B418" s="33"/>
      <c r="C418" s="34"/>
      <c r="D418" s="34"/>
      <c r="E418" s="34"/>
      <c r="F418" s="34"/>
      <c r="G418" s="35"/>
      <c r="H418" s="34"/>
      <c r="I418" s="5" t="str">
        <f t="shared" si="30"/>
        <v/>
      </c>
      <c r="J418" s="12" t="str">
        <f t="shared" si="31"/>
        <v/>
      </c>
      <c r="K418" s="37" t="str">
        <f>IF(A418="","",Inputs!$B$11-B418)</f>
        <v/>
      </c>
      <c r="L418" s="5" t="str">
        <f>IF(A418="","",IF(I418&lt;=0,"Sold out",IF(K418&gt;=Inputs!$B$18,"Dead",IF(K418&gt;=Inputs!$B$17,"Ageing",IF(K418&gt;=Inputs!$B$16,"Watch","Fresh")))))</f>
        <v/>
      </c>
      <c r="M418" s="5" t="str">
        <f t="shared" si="32"/>
        <v/>
      </c>
      <c r="N418" s="12" t="str">
        <f t="shared" si="33"/>
        <v/>
      </c>
      <c r="O418" s="36" t="str">
        <f t="shared" si="34"/>
        <v/>
      </c>
    </row>
    <row r="419" spans="1:15" x14ac:dyDescent="0.25">
      <c r="A419" s="34"/>
      <c r="B419" s="33"/>
      <c r="C419" s="34"/>
      <c r="D419" s="34"/>
      <c r="E419" s="34"/>
      <c r="F419" s="34"/>
      <c r="G419" s="35"/>
      <c r="H419" s="34"/>
      <c r="I419" s="5" t="str">
        <f t="shared" si="30"/>
        <v/>
      </c>
      <c r="J419" s="12" t="str">
        <f t="shared" si="31"/>
        <v/>
      </c>
      <c r="K419" s="37" t="str">
        <f>IF(A419="","",Inputs!$B$11-B419)</f>
        <v/>
      </c>
      <c r="L419" s="5" t="str">
        <f>IF(A419="","",IF(I419&lt;=0,"Sold out",IF(K419&gt;=Inputs!$B$18,"Dead",IF(K419&gt;=Inputs!$B$17,"Ageing",IF(K419&gt;=Inputs!$B$16,"Watch","Fresh")))))</f>
        <v/>
      </c>
      <c r="M419" s="5" t="str">
        <f t="shared" si="32"/>
        <v/>
      </c>
      <c r="N419" s="12" t="str">
        <f t="shared" si="33"/>
        <v/>
      </c>
      <c r="O419" s="36" t="str">
        <f t="shared" si="34"/>
        <v/>
      </c>
    </row>
    <row r="420" spans="1:15" x14ac:dyDescent="0.25">
      <c r="A420" s="34"/>
      <c r="B420" s="33"/>
      <c r="C420" s="34"/>
      <c r="D420" s="34"/>
      <c r="E420" s="34"/>
      <c r="F420" s="34"/>
      <c r="G420" s="35"/>
      <c r="H420" s="34"/>
      <c r="I420" s="5" t="str">
        <f t="shared" si="30"/>
        <v/>
      </c>
      <c r="J420" s="12" t="str">
        <f t="shared" si="31"/>
        <v/>
      </c>
      <c r="K420" s="37" t="str">
        <f>IF(A420="","",Inputs!$B$11-B420)</f>
        <v/>
      </c>
      <c r="L420" s="5" t="str">
        <f>IF(A420="","",IF(I420&lt;=0,"Sold out",IF(K420&gt;=Inputs!$B$18,"Dead",IF(K420&gt;=Inputs!$B$17,"Ageing",IF(K420&gt;=Inputs!$B$16,"Watch","Fresh")))))</f>
        <v/>
      </c>
      <c r="M420" s="5" t="str">
        <f t="shared" si="32"/>
        <v/>
      </c>
      <c r="N420" s="12" t="str">
        <f t="shared" si="33"/>
        <v/>
      </c>
      <c r="O420" s="36" t="str">
        <f t="shared" si="34"/>
        <v/>
      </c>
    </row>
    <row r="421" spans="1:15" x14ac:dyDescent="0.25">
      <c r="A421" s="34"/>
      <c r="B421" s="33"/>
      <c r="C421" s="34"/>
      <c r="D421" s="34"/>
      <c r="E421" s="34"/>
      <c r="F421" s="34"/>
      <c r="G421" s="35"/>
      <c r="H421" s="34"/>
      <c r="I421" s="5" t="str">
        <f t="shared" si="30"/>
        <v/>
      </c>
      <c r="J421" s="12" t="str">
        <f t="shared" si="31"/>
        <v/>
      </c>
      <c r="K421" s="37" t="str">
        <f>IF(A421="","",Inputs!$B$11-B421)</f>
        <v/>
      </c>
      <c r="L421" s="5" t="str">
        <f>IF(A421="","",IF(I421&lt;=0,"Sold out",IF(K421&gt;=Inputs!$B$18,"Dead",IF(K421&gt;=Inputs!$B$17,"Ageing",IF(K421&gt;=Inputs!$B$16,"Watch","Fresh")))))</f>
        <v/>
      </c>
      <c r="M421" s="5" t="str">
        <f t="shared" si="32"/>
        <v/>
      </c>
      <c r="N421" s="12" t="str">
        <f t="shared" si="33"/>
        <v/>
      </c>
      <c r="O421" s="36" t="str">
        <f t="shared" si="34"/>
        <v/>
      </c>
    </row>
    <row r="422" spans="1:15" x14ac:dyDescent="0.25">
      <c r="A422" s="34"/>
      <c r="B422" s="33"/>
      <c r="C422" s="34"/>
      <c r="D422" s="34"/>
      <c r="E422" s="34"/>
      <c r="F422" s="34"/>
      <c r="G422" s="35"/>
      <c r="H422" s="34"/>
      <c r="I422" s="5" t="str">
        <f t="shared" si="30"/>
        <v/>
      </c>
      <c r="J422" s="12" t="str">
        <f t="shared" si="31"/>
        <v/>
      </c>
      <c r="K422" s="37" t="str">
        <f>IF(A422="","",Inputs!$B$11-B422)</f>
        <v/>
      </c>
      <c r="L422" s="5" t="str">
        <f>IF(A422="","",IF(I422&lt;=0,"Sold out",IF(K422&gt;=Inputs!$B$18,"Dead",IF(K422&gt;=Inputs!$B$17,"Ageing",IF(K422&gt;=Inputs!$B$16,"Watch","Fresh")))))</f>
        <v/>
      </c>
      <c r="M422" s="5" t="str">
        <f t="shared" si="32"/>
        <v/>
      </c>
      <c r="N422" s="12" t="str">
        <f t="shared" si="33"/>
        <v/>
      </c>
      <c r="O422" s="36" t="str">
        <f t="shared" si="34"/>
        <v/>
      </c>
    </row>
    <row r="423" spans="1:15" x14ac:dyDescent="0.25">
      <c r="A423" s="34"/>
      <c r="B423" s="33"/>
      <c r="C423" s="34"/>
      <c r="D423" s="34"/>
      <c r="E423" s="34"/>
      <c r="F423" s="34"/>
      <c r="G423" s="35"/>
      <c r="H423" s="34"/>
      <c r="I423" s="5" t="str">
        <f t="shared" si="30"/>
        <v/>
      </c>
      <c r="J423" s="12" t="str">
        <f t="shared" si="31"/>
        <v/>
      </c>
      <c r="K423" s="37" t="str">
        <f>IF(A423="","",Inputs!$B$11-B423)</f>
        <v/>
      </c>
      <c r="L423" s="5" t="str">
        <f>IF(A423="","",IF(I423&lt;=0,"Sold out",IF(K423&gt;=Inputs!$B$18,"Dead",IF(K423&gt;=Inputs!$B$17,"Ageing",IF(K423&gt;=Inputs!$B$16,"Watch","Fresh")))))</f>
        <v/>
      </c>
      <c r="M423" s="5" t="str">
        <f t="shared" si="32"/>
        <v/>
      </c>
      <c r="N423" s="12" t="str">
        <f t="shared" si="33"/>
        <v/>
      </c>
      <c r="O423" s="36" t="str">
        <f t="shared" si="34"/>
        <v/>
      </c>
    </row>
    <row r="424" spans="1:15" x14ac:dyDescent="0.25">
      <c r="A424" s="34"/>
      <c r="B424" s="33"/>
      <c r="C424" s="34"/>
      <c r="D424" s="34"/>
      <c r="E424" s="34"/>
      <c r="F424" s="34"/>
      <c r="G424" s="35"/>
      <c r="H424" s="34"/>
      <c r="I424" s="5" t="str">
        <f t="shared" si="30"/>
        <v/>
      </c>
      <c r="J424" s="12" t="str">
        <f t="shared" si="31"/>
        <v/>
      </c>
      <c r="K424" s="37" t="str">
        <f>IF(A424="","",Inputs!$B$11-B424)</f>
        <v/>
      </c>
      <c r="L424" s="5" t="str">
        <f>IF(A424="","",IF(I424&lt;=0,"Sold out",IF(K424&gt;=Inputs!$B$18,"Dead",IF(K424&gt;=Inputs!$B$17,"Ageing",IF(K424&gt;=Inputs!$B$16,"Watch","Fresh")))))</f>
        <v/>
      </c>
      <c r="M424" s="5" t="str">
        <f t="shared" si="32"/>
        <v/>
      </c>
      <c r="N424" s="12" t="str">
        <f t="shared" si="33"/>
        <v/>
      </c>
      <c r="O424" s="36" t="str">
        <f t="shared" si="34"/>
        <v/>
      </c>
    </row>
    <row r="425" spans="1:15" x14ac:dyDescent="0.25">
      <c r="A425" s="34"/>
      <c r="B425" s="33"/>
      <c r="C425" s="34"/>
      <c r="D425" s="34"/>
      <c r="E425" s="34"/>
      <c r="F425" s="34"/>
      <c r="G425" s="35"/>
      <c r="H425" s="34"/>
      <c r="I425" s="5" t="str">
        <f t="shared" si="30"/>
        <v/>
      </c>
      <c r="J425" s="12" t="str">
        <f t="shared" si="31"/>
        <v/>
      </c>
      <c r="K425" s="37" t="str">
        <f>IF(A425="","",Inputs!$B$11-B425)</f>
        <v/>
      </c>
      <c r="L425" s="5" t="str">
        <f>IF(A425="","",IF(I425&lt;=0,"Sold out",IF(K425&gt;=Inputs!$B$18,"Dead",IF(K425&gt;=Inputs!$B$17,"Ageing",IF(K425&gt;=Inputs!$B$16,"Watch","Fresh")))))</f>
        <v/>
      </c>
      <c r="M425" s="5" t="str">
        <f t="shared" si="32"/>
        <v/>
      </c>
      <c r="N425" s="12" t="str">
        <f t="shared" si="33"/>
        <v/>
      </c>
      <c r="O425" s="36" t="str">
        <f t="shared" si="34"/>
        <v/>
      </c>
    </row>
    <row r="426" spans="1:15" x14ac:dyDescent="0.25">
      <c r="A426" s="34"/>
      <c r="B426" s="33"/>
      <c r="C426" s="34"/>
      <c r="D426" s="34"/>
      <c r="E426" s="34"/>
      <c r="F426" s="34"/>
      <c r="G426" s="35"/>
      <c r="H426" s="34"/>
      <c r="I426" s="5" t="str">
        <f t="shared" si="30"/>
        <v/>
      </c>
      <c r="J426" s="12" t="str">
        <f t="shared" si="31"/>
        <v/>
      </c>
      <c r="K426" s="37" t="str">
        <f>IF(A426="","",Inputs!$B$11-B426)</f>
        <v/>
      </c>
      <c r="L426" s="5" t="str">
        <f>IF(A426="","",IF(I426&lt;=0,"Sold out",IF(K426&gt;=Inputs!$B$18,"Dead",IF(K426&gt;=Inputs!$B$17,"Ageing",IF(K426&gt;=Inputs!$B$16,"Watch","Fresh")))))</f>
        <v/>
      </c>
      <c r="M426" s="5" t="str">
        <f t="shared" si="32"/>
        <v/>
      </c>
      <c r="N426" s="12" t="str">
        <f t="shared" si="33"/>
        <v/>
      </c>
      <c r="O426" s="36" t="str">
        <f t="shared" si="34"/>
        <v/>
      </c>
    </row>
    <row r="427" spans="1:15" x14ac:dyDescent="0.25">
      <c r="A427" s="34"/>
      <c r="B427" s="33"/>
      <c r="C427" s="34"/>
      <c r="D427" s="34"/>
      <c r="E427" s="34"/>
      <c r="F427" s="34"/>
      <c r="G427" s="35"/>
      <c r="H427" s="34"/>
      <c r="I427" s="5" t="str">
        <f t="shared" si="30"/>
        <v/>
      </c>
      <c r="J427" s="12" t="str">
        <f t="shared" si="31"/>
        <v/>
      </c>
      <c r="K427" s="37" t="str">
        <f>IF(A427="","",Inputs!$B$11-B427)</f>
        <v/>
      </c>
      <c r="L427" s="5" t="str">
        <f>IF(A427="","",IF(I427&lt;=0,"Sold out",IF(K427&gt;=Inputs!$B$18,"Dead",IF(K427&gt;=Inputs!$B$17,"Ageing",IF(K427&gt;=Inputs!$B$16,"Watch","Fresh")))))</f>
        <v/>
      </c>
      <c r="M427" s="5" t="str">
        <f t="shared" si="32"/>
        <v/>
      </c>
      <c r="N427" s="12" t="str">
        <f t="shared" si="33"/>
        <v/>
      </c>
      <c r="O427" s="36" t="str">
        <f t="shared" si="34"/>
        <v/>
      </c>
    </row>
    <row r="428" spans="1:15" x14ac:dyDescent="0.25">
      <c r="A428" s="34"/>
      <c r="B428" s="33"/>
      <c r="C428" s="34"/>
      <c r="D428" s="34"/>
      <c r="E428" s="34"/>
      <c r="F428" s="34"/>
      <c r="G428" s="35"/>
      <c r="H428" s="34"/>
      <c r="I428" s="5" t="str">
        <f t="shared" si="30"/>
        <v/>
      </c>
      <c r="J428" s="12" t="str">
        <f t="shared" si="31"/>
        <v/>
      </c>
      <c r="K428" s="37" t="str">
        <f>IF(A428="","",Inputs!$B$11-B428)</f>
        <v/>
      </c>
      <c r="L428" s="5" t="str">
        <f>IF(A428="","",IF(I428&lt;=0,"Sold out",IF(K428&gt;=Inputs!$B$18,"Dead",IF(K428&gt;=Inputs!$B$17,"Ageing",IF(K428&gt;=Inputs!$B$16,"Watch","Fresh")))))</f>
        <v/>
      </c>
      <c r="M428" s="5" t="str">
        <f t="shared" si="32"/>
        <v/>
      </c>
      <c r="N428" s="12" t="str">
        <f t="shared" si="33"/>
        <v/>
      </c>
      <c r="O428" s="36" t="str">
        <f t="shared" si="34"/>
        <v/>
      </c>
    </row>
    <row r="429" spans="1:15" x14ac:dyDescent="0.25">
      <c r="A429" s="34"/>
      <c r="B429" s="33"/>
      <c r="C429" s="34"/>
      <c r="D429" s="34"/>
      <c r="E429" s="34"/>
      <c r="F429" s="34"/>
      <c r="G429" s="35"/>
      <c r="H429" s="34"/>
      <c r="I429" s="5" t="str">
        <f t="shared" si="30"/>
        <v/>
      </c>
      <c r="J429" s="12" t="str">
        <f t="shared" si="31"/>
        <v/>
      </c>
      <c r="K429" s="37" t="str">
        <f>IF(A429="","",Inputs!$B$11-B429)</f>
        <v/>
      </c>
      <c r="L429" s="5" t="str">
        <f>IF(A429="","",IF(I429&lt;=0,"Sold out",IF(K429&gt;=Inputs!$B$18,"Dead",IF(K429&gt;=Inputs!$B$17,"Ageing",IF(K429&gt;=Inputs!$B$16,"Watch","Fresh")))))</f>
        <v/>
      </c>
      <c r="M429" s="5" t="str">
        <f t="shared" si="32"/>
        <v/>
      </c>
      <c r="N429" s="12" t="str">
        <f t="shared" si="33"/>
        <v/>
      </c>
      <c r="O429" s="36" t="str">
        <f t="shared" si="34"/>
        <v/>
      </c>
    </row>
    <row r="430" spans="1:15" x14ac:dyDescent="0.25">
      <c r="A430" s="34"/>
      <c r="B430" s="33"/>
      <c r="C430" s="34"/>
      <c r="D430" s="34"/>
      <c r="E430" s="34"/>
      <c r="F430" s="34"/>
      <c r="G430" s="35"/>
      <c r="H430" s="34"/>
      <c r="I430" s="5" t="str">
        <f t="shared" si="30"/>
        <v/>
      </c>
      <c r="J430" s="12" t="str">
        <f t="shared" si="31"/>
        <v/>
      </c>
      <c r="K430" s="37" t="str">
        <f>IF(A430="","",Inputs!$B$11-B430)</f>
        <v/>
      </c>
      <c r="L430" s="5" t="str">
        <f>IF(A430="","",IF(I430&lt;=0,"Sold out",IF(K430&gt;=Inputs!$B$18,"Dead",IF(K430&gt;=Inputs!$B$17,"Ageing",IF(K430&gt;=Inputs!$B$16,"Watch","Fresh")))))</f>
        <v/>
      </c>
      <c r="M430" s="5" t="str">
        <f t="shared" si="32"/>
        <v/>
      </c>
      <c r="N430" s="12" t="str">
        <f t="shared" si="33"/>
        <v/>
      </c>
      <c r="O430" s="36" t="str">
        <f t="shared" si="34"/>
        <v/>
      </c>
    </row>
    <row r="431" spans="1:15" x14ac:dyDescent="0.25">
      <c r="A431" s="34"/>
      <c r="B431" s="33"/>
      <c r="C431" s="34"/>
      <c r="D431" s="34"/>
      <c r="E431" s="34"/>
      <c r="F431" s="34"/>
      <c r="G431" s="35"/>
      <c r="H431" s="34"/>
      <c r="I431" s="5" t="str">
        <f t="shared" si="30"/>
        <v/>
      </c>
      <c r="J431" s="12" t="str">
        <f t="shared" si="31"/>
        <v/>
      </c>
      <c r="K431" s="37" t="str">
        <f>IF(A431="","",Inputs!$B$11-B431)</f>
        <v/>
      </c>
      <c r="L431" s="5" t="str">
        <f>IF(A431="","",IF(I431&lt;=0,"Sold out",IF(K431&gt;=Inputs!$B$18,"Dead",IF(K431&gt;=Inputs!$B$17,"Ageing",IF(K431&gt;=Inputs!$B$16,"Watch","Fresh")))))</f>
        <v/>
      </c>
      <c r="M431" s="5" t="str">
        <f t="shared" si="32"/>
        <v/>
      </c>
      <c r="N431" s="12" t="str">
        <f t="shared" si="33"/>
        <v/>
      </c>
      <c r="O431" s="36" t="str">
        <f t="shared" si="34"/>
        <v/>
      </c>
    </row>
    <row r="432" spans="1:15" x14ac:dyDescent="0.25">
      <c r="A432" s="34"/>
      <c r="B432" s="33"/>
      <c r="C432" s="34"/>
      <c r="D432" s="34"/>
      <c r="E432" s="34"/>
      <c r="F432" s="34"/>
      <c r="G432" s="35"/>
      <c r="H432" s="34"/>
      <c r="I432" s="5" t="str">
        <f t="shared" si="30"/>
        <v/>
      </c>
      <c r="J432" s="12" t="str">
        <f t="shared" si="31"/>
        <v/>
      </c>
      <c r="K432" s="37" t="str">
        <f>IF(A432="","",Inputs!$B$11-B432)</f>
        <v/>
      </c>
      <c r="L432" s="5" t="str">
        <f>IF(A432="","",IF(I432&lt;=0,"Sold out",IF(K432&gt;=Inputs!$B$18,"Dead",IF(K432&gt;=Inputs!$B$17,"Ageing",IF(K432&gt;=Inputs!$B$16,"Watch","Fresh")))))</f>
        <v/>
      </c>
      <c r="M432" s="5" t="str">
        <f t="shared" si="32"/>
        <v/>
      </c>
      <c r="N432" s="12" t="str">
        <f t="shared" si="33"/>
        <v/>
      </c>
      <c r="O432" s="36" t="str">
        <f t="shared" si="34"/>
        <v/>
      </c>
    </row>
    <row r="433" spans="1:15" x14ac:dyDescent="0.25">
      <c r="A433" s="34"/>
      <c r="B433" s="33"/>
      <c r="C433" s="34"/>
      <c r="D433" s="34"/>
      <c r="E433" s="34"/>
      <c r="F433" s="34"/>
      <c r="G433" s="35"/>
      <c r="H433" s="34"/>
      <c r="I433" s="5" t="str">
        <f t="shared" si="30"/>
        <v/>
      </c>
      <c r="J433" s="12" t="str">
        <f t="shared" si="31"/>
        <v/>
      </c>
      <c r="K433" s="37" t="str">
        <f>IF(A433="","",Inputs!$B$11-B433)</f>
        <v/>
      </c>
      <c r="L433" s="5" t="str">
        <f>IF(A433="","",IF(I433&lt;=0,"Sold out",IF(K433&gt;=Inputs!$B$18,"Dead",IF(K433&gt;=Inputs!$B$17,"Ageing",IF(K433&gt;=Inputs!$B$16,"Watch","Fresh")))))</f>
        <v/>
      </c>
      <c r="M433" s="5" t="str">
        <f t="shared" si="32"/>
        <v/>
      </c>
      <c r="N433" s="12" t="str">
        <f t="shared" si="33"/>
        <v/>
      </c>
      <c r="O433" s="36" t="str">
        <f t="shared" si="34"/>
        <v/>
      </c>
    </row>
    <row r="434" spans="1:15" x14ac:dyDescent="0.25">
      <c r="A434" s="34"/>
      <c r="B434" s="33"/>
      <c r="C434" s="34"/>
      <c r="D434" s="34"/>
      <c r="E434" s="34"/>
      <c r="F434" s="34"/>
      <c r="G434" s="35"/>
      <c r="H434" s="34"/>
      <c r="I434" s="5" t="str">
        <f t="shared" si="30"/>
        <v/>
      </c>
      <c r="J434" s="12" t="str">
        <f t="shared" si="31"/>
        <v/>
      </c>
      <c r="K434" s="37" t="str">
        <f>IF(A434="","",Inputs!$B$11-B434)</f>
        <v/>
      </c>
      <c r="L434" s="5" t="str">
        <f>IF(A434="","",IF(I434&lt;=0,"Sold out",IF(K434&gt;=Inputs!$B$18,"Dead",IF(K434&gt;=Inputs!$B$17,"Ageing",IF(K434&gt;=Inputs!$B$16,"Watch","Fresh")))))</f>
        <v/>
      </c>
      <c r="M434" s="5" t="str">
        <f t="shared" si="32"/>
        <v/>
      </c>
      <c r="N434" s="12" t="str">
        <f t="shared" si="33"/>
        <v/>
      </c>
      <c r="O434" s="36" t="str">
        <f t="shared" si="34"/>
        <v/>
      </c>
    </row>
    <row r="435" spans="1:15" x14ac:dyDescent="0.25">
      <c r="A435" s="34"/>
      <c r="B435" s="33"/>
      <c r="C435" s="34"/>
      <c r="D435" s="34"/>
      <c r="E435" s="34"/>
      <c r="F435" s="34"/>
      <c r="G435" s="35"/>
      <c r="H435" s="34"/>
      <c r="I435" s="5" t="str">
        <f t="shared" si="30"/>
        <v/>
      </c>
      <c r="J435" s="12" t="str">
        <f t="shared" si="31"/>
        <v/>
      </c>
      <c r="K435" s="37" t="str">
        <f>IF(A435="","",Inputs!$B$11-B435)</f>
        <v/>
      </c>
      <c r="L435" s="5" t="str">
        <f>IF(A435="","",IF(I435&lt;=0,"Sold out",IF(K435&gt;=Inputs!$B$18,"Dead",IF(K435&gt;=Inputs!$B$17,"Ageing",IF(K435&gt;=Inputs!$B$16,"Watch","Fresh")))))</f>
        <v/>
      </c>
      <c r="M435" s="5" t="str">
        <f t="shared" si="32"/>
        <v/>
      </c>
      <c r="N435" s="12" t="str">
        <f t="shared" si="33"/>
        <v/>
      </c>
      <c r="O435" s="36" t="str">
        <f t="shared" si="34"/>
        <v/>
      </c>
    </row>
    <row r="436" spans="1:15" x14ac:dyDescent="0.25">
      <c r="A436" s="34"/>
      <c r="B436" s="33"/>
      <c r="C436" s="34"/>
      <c r="D436" s="34"/>
      <c r="E436" s="34"/>
      <c r="F436" s="34"/>
      <c r="G436" s="35"/>
      <c r="H436" s="34"/>
      <c r="I436" s="5" t="str">
        <f t="shared" si="30"/>
        <v/>
      </c>
      <c r="J436" s="12" t="str">
        <f t="shared" si="31"/>
        <v/>
      </c>
      <c r="K436" s="37" t="str">
        <f>IF(A436="","",Inputs!$B$11-B436)</f>
        <v/>
      </c>
      <c r="L436" s="5" t="str">
        <f>IF(A436="","",IF(I436&lt;=0,"Sold out",IF(K436&gt;=Inputs!$B$18,"Dead",IF(K436&gt;=Inputs!$B$17,"Ageing",IF(K436&gt;=Inputs!$B$16,"Watch","Fresh")))))</f>
        <v/>
      </c>
      <c r="M436" s="5" t="str">
        <f t="shared" si="32"/>
        <v/>
      </c>
      <c r="N436" s="12" t="str">
        <f t="shared" si="33"/>
        <v/>
      </c>
      <c r="O436" s="36" t="str">
        <f t="shared" si="34"/>
        <v/>
      </c>
    </row>
    <row r="437" spans="1:15" x14ac:dyDescent="0.25">
      <c r="A437" s="34"/>
      <c r="B437" s="33"/>
      <c r="C437" s="34"/>
      <c r="D437" s="34"/>
      <c r="E437" s="34"/>
      <c r="F437" s="34"/>
      <c r="G437" s="35"/>
      <c r="H437" s="34"/>
      <c r="I437" s="5" t="str">
        <f t="shared" si="30"/>
        <v/>
      </c>
      <c r="J437" s="12" t="str">
        <f t="shared" si="31"/>
        <v/>
      </c>
      <c r="K437" s="37" t="str">
        <f>IF(A437="","",Inputs!$B$11-B437)</f>
        <v/>
      </c>
      <c r="L437" s="5" t="str">
        <f>IF(A437="","",IF(I437&lt;=0,"Sold out",IF(K437&gt;=Inputs!$B$18,"Dead",IF(K437&gt;=Inputs!$B$17,"Ageing",IF(K437&gt;=Inputs!$B$16,"Watch","Fresh")))))</f>
        <v/>
      </c>
      <c r="M437" s="5" t="str">
        <f t="shared" si="32"/>
        <v/>
      </c>
      <c r="N437" s="12" t="str">
        <f t="shared" si="33"/>
        <v/>
      </c>
      <c r="O437" s="36" t="str">
        <f t="shared" si="34"/>
        <v/>
      </c>
    </row>
    <row r="438" spans="1:15" x14ac:dyDescent="0.25">
      <c r="A438" s="34"/>
      <c r="B438" s="33"/>
      <c r="C438" s="34"/>
      <c r="D438" s="34"/>
      <c r="E438" s="34"/>
      <c r="F438" s="34"/>
      <c r="G438" s="35"/>
      <c r="H438" s="34"/>
      <c r="I438" s="5" t="str">
        <f t="shared" si="30"/>
        <v/>
      </c>
      <c r="J438" s="12" t="str">
        <f t="shared" si="31"/>
        <v/>
      </c>
      <c r="K438" s="37" t="str">
        <f>IF(A438="","",Inputs!$B$11-B438)</f>
        <v/>
      </c>
      <c r="L438" s="5" t="str">
        <f>IF(A438="","",IF(I438&lt;=0,"Sold out",IF(K438&gt;=Inputs!$B$18,"Dead",IF(K438&gt;=Inputs!$B$17,"Ageing",IF(K438&gt;=Inputs!$B$16,"Watch","Fresh")))))</f>
        <v/>
      </c>
      <c r="M438" s="5" t="str">
        <f t="shared" si="32"/>
        <v/>
      </c>
      <c r="N438" s="12" t="str">
        <f t="shared" si="33"/>
        <v/>
      </c>
      <c r="O438" s="36" t="str">
        <f t="shared" si="34"/>
        <v/>
      </c>
    </row>
    <row r="439" spans="1:15" x14ac:dyDescent="0.25">
      <c r="A439" s="34"/>
      <c r="B439" s="33"/>
      <c r="C439" s="34"/>
      <c r="D439" s="34"/>
      <c r="E439" s="34"/>
      <c r="F439" s="34"/>
      <c r="G439" s="35"/>
      <c r="H439" s="34"/>
      <c r="I439" s="5" t="str">
        <f t="shared" si="30"/>
        <v/>
      </c>
      <c r="J439" s="12" t="str">
        <f t="shared" si="31"/>
        <v/>
      </c>
      <c r="K439" s="37" t="str">
        <f>IF(A439="","",Inputs!$B$11-B439)</f>
        <v/>
      </c>
      <c r="L439" s="5" t="str">
        <f>IF(A439="","",IF(I439&lt;=0,"Sold out",IF(K439&gt;=Inputs!$B$18,"Dead",IF(K439&gt;=Inputs!$B$17,"Ageing",IF(K439&gt;=Inputs!$B$16,"Watch","Fresh")))))</f>
        <v/>
      </c>
      <c r="M439" s="5" t="str">
        <f t="shared" si="32"/>
        <v/>
      </c>
      <c r="N439" s="12" t="str">
        <f t="shared" si="33"/>
        <v/>
      </c>
      <c r="O439" s="36" t="str">
        <f t="shared" si="34"/>
        <v/>
      </c>
    </row>
    <row r="440" spans="1:15" x14ac:dyDescent="0.25">
      <c r="A440" s="34"/>
      <c r="B440" s="33"/>
      <c r="C440" s="34"/>
      <c r="D440" s="34"/>
      <c r="E440" s="34"/>
      <c r="F440" s="34"/>
      <c r="G440" s="35"/>
      <c r="H440" s="34"/>
      <c r="I440" s="5" t="str">
        <f t="shared" si="30"/>
        <v/>
      </c>
      <c r="J440" s="12" t="str">
        <f t="shared" si="31"/>
        <v/>
      </c>
      <c r="K440" s="37" t="str">
        <f>IF(A440="","",Inputs!$B$11-B440)</f>
        <v/>
      </c>
      <c r="L440" s="5" t="str">
        <f>IF(A440="","",IF(I440&lt;=0,"Sold out",IF(K440&gt;=Inputs!$B$18,"Dead",IF(K440&gt;=Inputs!$B$17,"Ageing",IF(K440&gt;=Inputs!$B$16,"Watch","Fresh")))))</f>
        <v/>
      </c>
      <c r="M440" s="5" t="str">
        <f t="shared" si="32"/>
        <v/>
      </c>
      <c r="N440" s="12" t="str">
        <f t="shared" si="33"/>
        <v/>
      </c>
      <c r="O440" s="36" t="str">
        <f t="shared" si="34"/>
        <v/>
      </c>
    </row>
    <row r="441" spans="1:15" x14ac:dyDescent="0.25">
      <c r="A441" s="34"/>
      <c r="B441" s="33"/>
      <c r="C441" s="34"/>
      <c r="D441" s="34"/>
      <c r="E441" s="34"/>
      <c r="F441" s="34"/>
      <c r="G441" s="35"/>
      <c r="H441" s="34"/>
      <c r="I441" s="5" t="str">
        <f t="shared" si="30"/>
        <v/>
      </c>
      <c r="J441" s="12" t="str">
        <f t="shared" si="31"/>
        <v/>
      </c>
      <c r="K441" s="37" t="str">
        <f>IF(A441="","",Inputs!$B$11-B441)</f>
        <v/>
      </c>
      <c r="L441" s="5" t="str">
        <f>IF(A441="","",IF(I441&lt;=0,"Sold out",IF(K441&gt;=Inputs!$B$18,"Dead",IF(K441&gt;=Inputs!$B$17,"Ageing",IF(K441&gt;=Inputs!$B$16,"Watch","Fresh")))))</f>
        <v/>
      </c>
      <c r="M441" s="5" t="str">
        <f t="shared" si="32"/>
        <v/>
      </c>
      <c r="N441" s="12" t="str">
        <f t="shared" si="33"/>
        <v/>
      </c>
      <c r="O441" s="36" t="str">
        <f t="shared" si="34"/>
        <v/>
      </c>
    </row>
    <row r="442" spans="1:15" x14ac:dyDescent="0.25">
      <c r="A442" s="34"/>
      <c r="B442" s="33"/>
      <c r="C442" s="34"/>
      <c r="D442" s="34"/>
      <c r="E442" s="34"/>
      <c r="F442" s="34"/>
      <c r="G442" s="35"/>
      <c r="H442" s="34"/>
      <c r="I442" s="5" t="str">
        <f t="shared" si="30"/>
        <v/>
      </c>
      <c r="J442" s="12" t="str">
        <f t="shared" si="31"/>
        <v/>
      </c>
      <c r="K442" s="37" t="str">
        <f>IF(A442="","",Inputs!$B$11-B442)</f>
        <v/>
      </c>
      <c r="L442" s="5" t="str">
        <f>IF(A442="","",IF(I442&lt;=0,"Sold out",IF(K442&gt;=Inputs!$B$18,"Dead",IF(K442&gt;=Inputs!$B$17,"Ageing",IF(K442&gt;=Inputs!$B$16,"Watch","Fresh")))))</f>
        <v/>
      </c>
      <c r="M442" s="5" t="str">
        <f t="shared" si="32"/>
        <v/>
      </c>
      <c r="N442" s="12" t="str">
        <f t="shared" si="33"/>
        <v/>
      </c>
      <c r="O442" s="36" t="str">
        <f t="shared" si="34"/>
        <v/>
      </c>
    </row>
    <row r="443" spans="1:15" x14ac:dyDescent="0.25">
      <c r="A443" s="34"/>
      <c r="B443" s="33"/>
      <c r="C443" s="34"/>
      <c r="D443" s="34"/>
      <c r="E443" s="34"/>
      <c r="F443" s="34"/>
      <c r="G443" s="35"/>
      <c r="H443" s="34"/>
      <c r="I443" s="5" t="str">
        <f t="shared" si="30"/>
        <v/>
      </c>
      <c r="J443" s="12" t="str">
        <f t="shared" si="31"/>
        <v/>
      </c>
      <c r="K443" s="37" t="str">
        <f>IF(A443="","",Inputs!$B$11-B443)</f>
        <v/>
      </c>
      <c r="L443" s="5" t="str">
        <f>IF(A443="","",IF(I443&lt;=0,"Sold out",IF(K443&gt;=Inputs!$B$18,"Dead",IF(K443&gt;=Inputs!$B$17,"Ageing",IF(K443&gt;=Inputs!$B$16,"Watch","Fresh")))))</f>
        <v/>
      </c>
      <c r="M443" s="5" t="str">
        <f t="shared" si="32"/>
        <v/>
      </c>
      <c r="N443" s="12" t="str">
        <f t="shared" si="33"/>
        <v/>
      </c>
      <c r="O443" s="36" t="str">
        <f t="shared" si="34"/>
        <v/>
      </c>
    </row>
    <row r="444" spans="1:15" x14ac:dyDescent="0.25">
      <c r="A444" s="34"/>
      <c r="B444" s="33"/>
      <c r="C444" s="34"/>
      <c r="D444" s="34"/>
      <c r="E444" s="34"/>
      <c r="F444" s="34"/>
      <c r="G444" s="35"/>
      <c r="H444" s="34"/>
      <c r="I444" s="5" t="str">
        <f t="shared" si="30"/>
        <v/>
      </c>
      <c r="J444" s="12" t="str">
        <f t="shared" si="31"/>
        <v/>
      </c>
      <c r="K444" s="37" t="str">
        <f>IF(A444="","",Inputs!$B$11-B444)</f>
        <v/>
      </c>
      <c r="L444" s="5" t="str">
        <f>IF(A444="","",IF(I444&lt;=0,"Sold out",IF(K444&gt;=Inputs!$B$18,"Dead",IF(K444&gt;=Inputs!$B$17,"Ageing",IF(K444&gt;=Inputs!$B$16,"Watch","Fresh")))))</f>
        <v/>
      </c>
      <c r="M444" s="5" t="str">
        <f t="shared" si="32"/>
        <v/>
      </c>
      <c r="N444" s="12" t="str">
        <f t="shared" si="33"/>
        <v/>
      </c>
      <c r="O444" s="36" t="str">
        <f t="shared" si="34"/>
        <v/>
      </c>
    </row>
    <row r="445" spans="1:15" x14ac:dyDescent="0.25">
      <c r="A445" s="34"/>
      <c r="B445" s="33"/>
      <c r="C445" s="34"/>
      <c r="D445" s="34"/>
      <c r="E445" s="34"/>
      <c r="F445" s="34"/>
      <c r="G445" s="35"/>
      <c r="H445" s="34"/>
      <c r="I445" s="5" t="str">
        <f t="shared" si="30"/>
        <v/>
      </c>
      <c r="J445" s="12" t="str">
        <f t="shared" si="31"/>
        <v/>
      </c>
      <c r="K445" s="37" t="str">
        <f>IF(A445="","",Inputs!$B$11-B445)</f>
        <v/>
      </c>
      <c r="L445" s="5" t="str">
        <f>IF(A445="","",IF(I445&lt;=0,"Sold out",IF(K445&gt;=Inputs!$B$18,"Dead",IF(K445&gt;=Inputs!$B$17,"Ageing",IF(K445&gt;=Inputs!$B$16,"Watch","Fresh")))))</f>
        <v/>
      </c>
      <c r="M445" s="5" t="str">
        <f t="shared" si="32"/>
        <v/>
      </c>
      <c r="N445" s="12" t="str">
        <f t="shared" si="33"/>
        <v/>
      </c>
      <c r="O445" s="36" t="str">
        <f t="shared" si="34"/>
        <v/>
      </c>
    </row>
    <row r="446" spans="1:15" x14ac:dyDescent="0.25">
      <c r="A446" s="34"/>
      <c r="B446" s="33"/>
      <c r="C446" s="34"/>
      <c r="D446" s="34"/>
      <c r="E446" s="34"/>
      <c r="F446" s="34"/>
      <c r="G446" s="35"/>
      <c r="H446" s="34"/>
      <c r="I446" s="5" t="str">
        <f t="shared" si="30"/>
        <v/>
      </c>
      <c r="J446" s="12" t="str">
        <f t="shared" si="31"/>
        <v/>
      </c>
      <c r="K446" s="37" t="str">
        <f>IF(A446="","",Inputs!$B$11-B446)</f>
        <v/>
      </c>
      <c r="L446" s="5" t="str">
        <f>IF(A446="","",IF(I446&lt;=0,"Sold out",IF(K446&gt;=Inputs!$B$18,"Dead",IF(K446&gt;=Inputs!$B$17,"Ageing",IF(K446&gt;=Inputs!$B$16,"Watch","Fresh")))))</f>
        <v/>
      </c>
      <c r="M446" s="5" t="str">
        <f t="shared" si="32"/>
        <v/>
      </c>
      <c r="N446" s="12" t="str">
        <f t="shared" si="33"/>
        <v/>
      </c>
      <c r="O446" s="36" t="str">
        <f t="shared" si="34"/>
        <v/>
      </c>
    </row>
    <row r="447" spans="1:15" x14ac:dyDescent="0.25">
      <c r="A447" s="34"/>
      <c r="B447" s="33"/>
      <c r="C447" s="34"/>
      <c r="D447" s="34"/>
      <c r="E447" s="34"/>
      <c r="F447" s="34"/>
      <c r="G447" s="35"/>
      <c r="H447" s="34"/>
      <c r="I447" s="5" t="str">
        <f t="shared" si="30"/>
        <v/>
      </c>
      <c r="J447" s="12" t="str">
        <f t="shared" si="31"/>
        <v/>
      </c>
      <c r="K447" s="37" t="str">
        <f>IF(A447="","",Inputs!$B$11-B447)</f>
        <v/>
      </c>
      <c r="L447" s="5" t="str">
        <f>IF(A447="","",IF(I447&lt;=0,"Sold out",IF(K447&gt;=Inputs!$B$18,"Dead",IF(K447&gt;=Inputs!$B$17,"Ageing",IF(K447&gt;=Inputs!$B$16,"Watch","Fresh")))))</f>
        <v/>
      </c>
      <c r="M447" s="5" t="str">
        <f t="shared" si="32"/>
        <v/>
      </c>
      <c r="N447" s="12" t="str">
        <f t="shared" si="33"/>
        <v/>
      </c>
      <c r="O447" s="36" t="str">
        <f t="shared" si="34"/>
        <v/>
      </c>
    </row>
    <row r="448" spans="1:15" x14ac:dyDescent="0.25">
      <c r="A448" s="34"/>
      <c r="B448" s="33"/>
      <c r="C448" s="34"/>
      <c r="D448" s="34"/>
      <c r="E448" s="34"/>
      <c r="F448" s="34"/>
      <c r="G448" s="35"/>
      <c r="H448" s="34"/>
      <c r="I448" s="5" t="str">
        <f t="shared" si="30"/>
        <v/>
      </c>
      <c r="J448" s="12" t="str">
        <f t="shared" si="31"/>
        <v/>
      </c>
      <c r="K448" s="37" t="str">
        <f>IF(A448="","",Inputs!$B$11-B448)</f>
        <v/>
      </c>
      <c r="L448" s="5" t="str">
        <f>IF(A448="","",IF(I448&lt;=0,"Sold out",IF(K448&gt;=Inputs!$B$18,"Dead",IF(K448&gt;=Inputs!$B$17,"Ageing",IF(K448&gt;=Inputs!$B$16,"Watch","Fresh")))))</f>
        <v/>
      </c>
      <c r="M448" s="5" t="str">
        <f t="shared" si="32"/>
        <v/>
      </c>
      <c r="N448" s="12" t="str">
        <f t="shared" si="33"/>
        <v/>
      </c>
      <c r="O448" s="36" t="str">
        <f t="shared" si="34"/>
        <v/>
      </c>
    </row>
    <row r="449" spans="1:15" x14ac:dyDescent="0.25">
      <c r="A449" s="34"/>
      <c r="B449" s="33"/>
      <c r="C449" s="34"/>
      <c r="D449" s="34"/>
      <c r="E449" s="34"/>
      <c r="F449" s="34"/>
      <c r="G449" s="35"/>
      <c r="H449" s="34"/>
      <c r="I449" s="5" t="str">
        <f t="shared" si="30"/>
        <v/>
      </c>
      <c r="J449" s="12" t="str">
        <f t="shared" si="31"/>
        <v/>
      </c>
      <c r="K449" s="37" t="str">
        <f>IF(A449="","",Inputs!$B$11-B449)</f>
        <v/>
      </c>
      <c r="L449" s="5" t="str">
        <f>IF(A449="","",IF(I449&lt;=0,"Sold out",IF(K449&gt;=Inputs!$B$18,"Dead",IF(K449&gt;=Inputs!$B$17,"Ageing",IF(K449&gt;=Inputs!$B$16,"Watch","Fresh")))))</f>
        <v/>
      </c>
      <c r="M449" s="5" t="str">
        <f t="shared" si="32"/>
        <v/>
      </c>
      <c r="N449" s="12" t="str">
        <f t="shared" si="33"/>
        <v/>
      </c>
      <c r="O449" s="36" t="str">
        <f t="shared" si="34"/>
        <v/>
      </c>
    </row>
    <row r="450" spans="1:15" x14ac:dyDescent="0.25">
      <c r="A450" s="34"/>
      <c r="B450" s="33"/>
      <c r="C450" s="34"/>
      <c r="D450" s="34"/>
      <c r="E450" s="34"/>
      <c r="F450" s="34"/>
      <c r="G450" s="35"/>
      <c r="H450" s="34"/>
      <c r="I450" s="5" t="str">
        <f t="shared" si="30"/>
        <v/>
      </c>
      <c r="J450" s="12" t="str">
        <f t="shared" si="31"/>
        <v/>
      </c>
      <c r="K450" s="37" t="str">
        <f>IF(A450="","",Inputs!$B$11-B450)</f>
        <v/>
      </c>
      <c r="L450" s="5" t="str">
        <f>IF(A450="","",IF(I450&lt;=0,"Sold out",IF(K450&gt;=Inputs!$B$18,"Dead",IF(K450&gt;=Inputs!$B$17,"Ageing",IF(K450&gt;=Inputs!$B$16,"Watch","Fresh")))))</f>
        <v/>
      </c>
      <c r="M450" s="5" t="str">
        <f t="shared" si="32"/>
        <v/>
      </c>
      <c r="N450" s="12" t="str">
        <f t="shared" si="33"/>
        <v/>
      </c>
      <c r="O450" s="36" t="str">
        <f t="shared" si="34"/>
        <v/>
      </c>
    </row>
    <row r="451" spans="1:15" x14ac:dyDescent="0.25">
      <c r="A451" s="34"/>
      <c r="B451" s="33"/>
      <c r="C451" s="34"/>
      <c r="D451" s="34"/>
      <c r="E451" s="34"/>
      <c r="F451" s="34"/>
      <c r="G451" s="35"/>
      <c r="H451" s="34"/>
      <c r="I451" s="5" t="str">
        <f t="shared" si="30"/>
        <v/>
      </c>
      <c r="J451" s="12" t="str">
        <f t="shared" si="31"/>
        <v/>
      </c>
      <c r="K451" s="37" t="str">
        <f>IF(A451="","",Inputs!$B$11-B451)</f>
        <v/>
      </c>
      <c r="L451" s="5" t="str">
        <f>IF(A451="","",IF(I451&lt;=0,"Sold out",IF(K451&gt;=Inputs!$B$18,"Dead",IF(K451&gt;=Inputs!$B$17,"Ageing",IF(K451&gt;=Inputs!$B$16,"Watch","Fresh")))))</f>
        <v/>
      </c>
      <c r="M451" s="5" t="str">
        <f t="shared" si="32"/>
        <v/>
      </c>
      <c r="N451" s="12" t="str">
        <f t="shared" si="33"/>
        <v/>
      </c>
      <c r="O451" s="36" t="str">
        <f t="shared" si="34"/>
        <v/>
      </c>
    </row>
    <row r="452" spans="1:15" x14ac:dyDescent="0.25">
      <c r="A452" s="34"/>
      <c r="B452" s="33"/>
      <c r="C452" s="34"/>
      <c r="D452" s="34"/>
      <c r="E452" s="34"/>
      <c r="F452" s="34"/>
      <c r="G452" s="35"/>
      <c r="H452" s="34"/>
      <c r="I452" s="5" t="str">
        <f t="shared" si="30"/>
        <v/>
      </c>
      <c r="J452" s="12" t="str">
        <f t="shared" si="31"/>
        <v/>
      </c>
      <c r="K452" s="37" t="str">
        <f>IF(A452="","",Inputs!$B$11-B452)</f>
        <v/>
      </c>
      <c r="L452" s="5" t="str">
        <f>IF(A452="","",IF(I452&lt;=0,"Sold out",IF(K452&gt;=Inputs!$B$18,"Dead",IF(K452&gt;=Inputs!$B$17,"Ageing",IF(K452&gt;=Inputs!$B$16,"Watch","Fresh")))))</f>
        <v/>
      </c>
      <c r="M452" s="5" t="str">
        <f t="shared" si="32"/>
        <v/>
      </c>
      <c r="N452" s="12" t="str">
        <f t="shared" si="33"/>
        <v/>
      </c>
      <c r="O452" s="36" t="str">
        <f t="shared" si="34"/>
        <v/>
      </c>
    </row>
    <row r="453" spans="1:15" x14ac:dyDescent="0.25">
      <c r="A453" s="34"/>
      <c r="B453" s="33"/>
      <c r="C453" s="34"/>
      <c r="D453" s="34"/>
      <c r="E453" s="34"/>
      <c r="F453" s="34"/>
      <c r="G453" s="35"/>
      <c r="H453" s="34"/>
      <c r="I453" s="5" t="str">
        <f t="shared" si="30"/>
        <v/>
      </c>
      <c r="J453" s="12" t="str">
        <f t="shared" si="31"/>
        <v/>
      </c>
      <c r="K453" s="37" t="str">
        <f>IF(A453="","",Inputs!$B$11-B453)</f>
        <v/>
      </c>
      <c r="L453" s="5" t="str">
        <f>IF(A453="","",IF(I453&lt;=0,"Sold out",IF(K453&gt;=Inputs!$B$18,"Dead",IF(K453&gt;=Inputs!$B$17,"Ageing",IF(K453&gt;=Inputs!$B$16,"Watch","Fresh")))))</f>
        <v/>
      </c>
      <c r="M453" s="5" t="str">
        <f t="shared" si="32"/>
        <v/>
      </c>
      <c r="N453" s="12" t="str">
        <f t="shared" si="33"/>
        <v/>
      </c>
      <c r="O453" s="36" t="str">
        <f t="shared" si="34"/>
        <v/>
      </c>
    </row>
    <row r="454" spans="1:15" x14ac:dyDescent="0.25">
      <c r="A454" s="34"/>
      <c r="B454" s="33"/>
      <c r="C454" s="34"/>
      <c r="D454" s="34"/>
      <c r="E454" s="34"/>
      <c r="F454" s="34"/>
      <c r="G454" s="35"/>
      <c r="H454" s="34"/>
      <c r="I454" s="5" t="str">
        <f t="shared" ref="I454:I517" si="35">IF(A454="","",F454-H454)</f>
        <v/>
      </c>
      <c r="J454" s="12" t="str">
        <f t="shared" ref="J454:J517" si="36">IF(A454="","",I454*G454)</f>
        <v/>
      </c>
      <c r="K454" s="37" t="str">
        <f>IF(A454="","",Inputs!$B$11-B454)</f>
        <v/>
      </c>
      <c r="L454" s="5" t="str">
        <f>IF(A454="","",IF(I454&lt;=0,"Sold out",IF(K454&gt;=Inputs!$B$18,"Dead",IF(K454&gt;=Inputs!$B$17,"Ageing",IF(K454&gt;=Inputs!$B$16,"Watch","Fresh")))))</f>
        <v/>
      </c>
      <c r="M454" s="5" t="str">
        <f t="shared" ref="M454:M517" si="37">IF(L454="","",IF(L454="Dead","Clearance / exchange with vendor",IF(L454="Ageing","Markdown 20-30%",IF(L454="Watch","Push in reels &amp; WhatsApp broadcast",IF(L454="Fresh","OK","-")))))</f>
        <v/>
      </c>
      <c r="N454" s="12" t="str">
        <f t="shared" ref="N454:N517" si="38">IF(A454="","",F454*G454)</f>
        <v/>
      </c>
      <c r="O454" s="36" t="str">
        <f t="shared" ref="O454:O517" si="39">IF(B454="","",DATE(YEAR(B454),MONTH(B454),1))</f>
        <v/>
      </c>
    </row>
    <row r="455" spans="1:15" x14ac:dyDescent="0.25">
      <c r="A455" s="34"/>
      <c r="B455" s="33"/>
      <c r="C455" s="34"/>
      <c r="D455" s="34"/>
      <c r="E455" s="34"/>
      <c r="F455" s="34"/>
      <c r="G455" s="35"/>
      <c r="H455" s="34"/>
      <c r="I455" s="5" t="str">
        <f t="shared" si="35"/>
        <v/>
      </c>
      <c r="J455" s="12" t="str">
        <f t="shared" si="36"/>
        <v/>
      </c>
      <c r="K455" s="37" t="str">
        <f>IF(A455="","",Inputs!$B$11-B455)</f>
        <v/>
      </c>
      <c r="L455" s="5" t="str">
        <f>IF(A455="","",IF(I455&lt;=0,"Sold out",IF(K455&gt;=Inputs!$B$18,"Dead",IF(K455&gt;=Inputs!$B$17,"Ageing",IF(K455&gt;=Inputs!$B$16,"Watch","Fresh")))))</f>
        <v/>
      </c>
      <c r="M455" s="5" t="str">
        <f t="shared" si="37"/>
        <v/>
      </c>
      <c r="N455" s="12" t="str">
        <f t="shared" si="38"/>
        <v/>
      </c>
      <c r="O455" s="36" t="str">
        <f t="shared" si="39"/>
        <v/>
      </c>
    </row>
    <row r="456" spans="1:15" x14ac:dyDescent="0.25">
      <c r="A456" s="34"/>
      <c r="B456" s="33"/>
      <c r="C456" s="34"/>
      <c r="D456" s="34"/>
      <c r="E456" s="34"/>
      <c r="F456" s="34"/>
      <c r="G456" s="35"/>
      <c r="H456" s="34"/>
      <c r="I456" s="5" t="str">
        <f t="shared" si="35"/>
        <v/>
      </c>
      <c r="J456" s="12" t="str">
        <f t="shared" si="36"/>
        <v/>
      </c>
      <c r="K456" s="37" t="str">
        <f>IF(A456="","",Inputs!$B$11-B456)</f>
        <v/>
      </c>
      <c r="L456" s="5" t="str">
        <f>IF(A456="","",IF(I456&lt;=0,"Sold out",IF(K456&gt;=Inputs!$B$18,"Dead",IF(K456&gt;=Inputs!$B$17,"Ageing",IF(K456&gt;=Inputs!$B$16,"Watch","Fresh")))))</f>
        <v/>
      </c>
      <c r="M456" s="5" t="str">
        <f t="shared" si="37"/>
        <v/>
      </c>
      <c r="N456" s="12" t="str">
        <f t="shared" si="38"/>
        <v/>
      </c>
      <c r="O456" s="36" t="str">
        <f t="shared" si="39"/>
        <v/>
      </c>
    </row>
    <row r="457" spans="1:15" x14ac:dyDescent="0.25">
      <c r="A457" s="34"/>
      <c r="B457" s="33"/>
      <c r="C457" s="34"/>
      <c r="D457" s="34"/>
      <c r="E457" s="34"/>
      <c r="F457" s="34"/>
      <c r="G457" s="35"/>
      <c r="H457" s="34"/>
      <c r="I457" s="5" t="str">
        <f t="shared" si="35"/>
        <v/>
      </c>
      <c r="J457" s="12" t="str">
        <f t="shared" si="36"/>
        <v/>
      </c>
      <c r="K457" s="37" t="str">
        <f>IF(A457="","",Inputs!$B$11-B457)</f>
        <v/>
      </c>
      <c r="L457" s="5" t="str">
        <f>IF(A457="","",IF(I457&lt;=0,"Sold out",IF(K457&gt;=Inputs!$B$18,"Dead",IF(K457&gt;=Inputs!$B$17,"Ageing",IF(K457&gt;=Inputs!$B$16,"Watch","Fresh")))))</f>
        <v/>
      </c>
      <c r="M457" s="5" t="str">
        <f t="shared" si="37"/>
        <v/>
      </c>
      <c r="N457" s="12" t="str">
        <f t="shared" si="38"/>
        <v/>
      </c>
      <c r="O457" s="36" t="str">
        <f t="shared" si="39"/>
        <v/>
      </c>
    </row>
    <row r="458" spans="1:15" x14ac:dyDescent="0.25">
      <c r="A458" s="34"/>
      <c r="B458" s="33"/>
      <c r="C458" s="34"/>
      <c r="D458" s="34"/>
      <c r="E458" s="34"/>
      <c r="F458" s="34"/>
      <c r="G458" s="35"/>
      <c r="H458" s="34"/>
      <c r="I458" s="5" t="str">
        <f t="shared" si="35"/>
        <v/>
      </c>
      <c r="J458" s="12" t="str">
        <f t="shared" si="36"/>
        <v/>
      </c>
      <c r="K458" s="37" t="str">
        <f>IF(A458="","",Inputs!$B$11-B458)</f>
        <v/>
      </c>
      <c r="L458" s="5" t="str">
        <f>IF(A458="","",IF(I458&lt;=0,"Sold out",IF(K458&gt;=Inputs!$B$18,"Dead",IF(K458&gt;=Inputs!$B$17,"Ageing",IF(K458&gt;=Inputs!$B$16,"Watch","Fresh")))))</f>
        <v/>
      </c>
      <c r="M458" s="5" t="str">
        <f t="shared" si="37"/>
        <v/>
      </c>
      <c r="N458" s="12" t="str">
        <f t="shared" si="38"/>
        <v/>
      </c>
      <c r="O458" s="36" t="str">
        <f t="shared" si="39"/>
        <v/>
      </c>
    </row>
    <row r="459" spans="1:15" x14ac:dyDescent="0.25">
      <c r="A459" s="34"/>
      <c r="B459" s="33"/>
      <c r="C459" s="34"/>
      <c r="D459" s="34"/>
      <c r="E459" s="34"/>
      <c r="F459" s="34"/>
      <c r="G459" s="35"/>
      <c r="H459" s="34"/>
      <c r="I459" s="5" t="str">
        <f t="shared" si="35"/>
        <v/>
      </c>
      <c r="J459" s="12" t="str">
        <f t="shared" si="36"/>
        <v/>
      </c>
      <c r="K459" s="37" t="str">
        <f>IF(A459="","",Inputs!$B$11-B459)</f>
        <v/>
      </c>
      <c r="L459" s="5" t="str">
        <f>IF(A459="","",IF(I459&lt;=0,"Sold out",IF(K459&gt;=Inputs!$B$18,"Dead",IF(K459&gt;=Inputs!$B$17,"Ageing",IF(K459&gt;=Inputs!$B$16,"Watch","Fresh")))))</f>
        <v/>
      </c>
      <c r="M459" s="5" t="str">
        <f t="shared" si="37"/>
        <v/>
      </c>
      <c r="N459" s="12" t="str">
        <f t="shared" si="38"/>
        <v/>
      </c>
      <c r="O459" s="36" t="str">
        <f t="shared" si="39"/>
        <v/>
      </c>
    </row>
    <row r="460" spans="1:15" x14ac:dyDescent="0.25">
      <c r="A460" s="34"/>
      <c r="B460" s="33"/>
      <c r="C460" s="34"/>
      <c r="D460" s="34"/>
      <c r="E460" s="34"/>
      <c r="F460" s="34"/>
      <c r="G460" s="35"/>
      <c r="H460" s="34"/>
      <c r="I460" s="5" t="str">
        <f t="shared" si="35"/>
        <v/>
      </c>
      <c r="J460" s="12" t="str">
        <f t="shared" si="36"/>
        <v/>
      </c>
      <c r="K460" s="37" t="str">
        <f>IF(A460="","",Inputs!$B$11-B460)</f>
        <v/>
      </c>
      <c r="L460" s="5" t="str">
        <f>IF(A460="","",IF(I460&lt;=0,"Sold out",IF(K460&gt;=Inputs!$B$18,"Dead",IF(K460&gt;=Inputs!$B$17,"Ageing",IF(K460&gt;=Inputs!$B$16,"Watch","Fresh")))))</f>
        <v/>
      </c>
      <c r="M460" s="5" t="str">
        <f t="shared" si="37"/>
        <v/>
      </c>
      <c r="N460" s="12" t="str">
        <f t="shared" si="38"/>
        <v/>
      </c>
      <c r="O460" s="36" t="str">
        <f t="shared" si="39"/>
        <v/>
      </c>
    </row>
    <row r="461" spans="1:15" x14ac:dyDescent="0.25">
      <c r="A461" s="34"/>
      <c r="B461" s="33"/>
      <c r="C461" s="34"/>
      <c r="D461" s="34"/>
      <c r="E461" s="34"/>
      <c r="F461" s="34"/>
      <c r="G461" s="35"/>
      <c r="H461" s="34"/>
      <c r="I461" s="5" t="str">
        <f t="shared" si="35"/>
        <v/>
      </c>
      <c r="J461" s="12" t="str">
        <f t="shared" si="36"/>
        <v/>
      </c>
      <c r="K461" s="37" t="str">
        <f>IF(A461="","",Inputs!$B$11-B461)</f>
        <v/>
      </c>
      <c r="L461" s="5" t="str">
        <f>IF(A461="","",IF(I461&lt;=0,"Sold out",IF(K461&gt;=Inputs!$B$18,"Dead",IF(K461&gt;=Inputs!$B$17,"Ageing",IF(K461&gt;=Inputs!$B$16,"Watch","Fresh")))))</f>
        <v/>
      </c>
      <c r="M461" s="5" t="str">
        <f t="shared" si="37"/>
        <v/>
      </c>
      <c r="N461" s="12" t="str">
        <f t="shared" si="38"/>
        <v/>
      </c>
      <c r="O461" s="36" t="str">
        <f t="shared" si="39"/>
        <v/>
      </c>
    </row>
    <row r="462" spans="1:15" x14ac:dyDescent="0.25">
      <c r="A462" s="34"/>
      <c r="B462" s="33"/>
      <c r="C462" s="34"/>
      <c r="D462" s="34"/>
      <c r="E462" s="34"/>
      <c r="F462" s="34"/>
      <c r="G462" s="35"/>
      <c r="H462" s="34"/>
      <c r="I462" s="5" t="str">
        <f t="shared" si="35"/>
        <v/>
      </c>
      <c r="J462" s="12" t="str">
        <f t="shared" si="36"/>
        <v/>
      </c>
      <c r="K462" s="37" t="str">
        <f>IF(A462="","",Inputs!$B$11-B462)</f>
        <v/>
      </c>
      <c r="L462" s="5" t="str">
        <f>IF(A462="","",IF(I462&lt;=0,"Sold out",IF(K462&gt;=Inputs!$B$18,"Dead",IF(K462&gt;=Inputs!$B$17,"Ageing",IF(K462&gt;=Inputs!$B$16,"Watch","Fresh")))))</f>
        <v/>
      </c>
      <c r="M462" s="5" t="str">
        <f t="shared" si="37"/>
        <v/>
      </c>
      <c r="N462" s="12" t="str">
        <f t="shared" si="38"/>
        <v/>
      </c>
      <c r="O462" s="36" t="str">
        <f t="shared" si="39"/>
        <v/>
      </c>
    </row>
    <row r="463" spans="1:15" x14ac:dyDescent="0.25">
      <c r="A463" s="34"/>
      <c r="B463" s="33"/>
      <c r="C463" s="34"/>
      <c r="D463" s="34"/>
      <c r="E463" s="34"/>
      <c r="F463" s="34"/>
      <c r="G463" s="35"/>
      <c r="H463" s="34"/>
      <c r="I463" s="5" t="str">
        <f t="shared" si="35"/>
        <v/>
      </c>
      <c r="J463" s="12" t="str">
        <f t="shared" si="36"/>
        <v/>
      </c>
      <c r="K463" s="37" t="str">
        <f>IF(A463="","",Inputs!$B$11-B463)</f>
        <v/>
      </c>
      <c r="L463" s="5" t="str">
        <f>IF(A463="","",IF(I463&lt;=0,"Sold out",IF(K463&gt;=Inputs!$B$18,"Dead",IF(K463&gt;=Inputs!$B$17,"Ageing",IF(K463&gt;=Inputs!$B$16,"Watch","Fresh")))))</f>
        <v/>
      </c>
      <c r="M463" s="5" t="str">
        <f t="shared" si="37"/>
        <v/>
      </c>
      <c r="N463" s="12" t="str">
        <f t="shared" si="38"/>
        <v/>
      </c>
      <c r="O463" s="36" t="str">
        <f t="shared" si="39"/>
        <v/>
      </c>
    </row>
    <row r="464" spans="1:15" x14ac:dyDescent="0.25">
      <c r="A464" s="34"/>
      <c r="B464" s="33"/>
      <c r="C464" s="34"/>
      <c r="D464" s="34"/>
      <c r="E464" s="34"/>
      <c r="F464" s="34"/>
      <c r="G464" s="35"/>
      <c r="H464" s="34"/>
      <c r="I464" s="5" t="str">
        <f t="shared" si="35"/>
        <v/>
      </c>
      <c r="J464" s="12" t="str">
        <f t="shared" si="36"/>
        <v/>
      </c>
      <c r="K464" s="37" t="str">
        <f>IF(A464="","",Inputs!$B$11-B464)</f>
        <v/>
      </c>
      <c r="L464" s="5" t="str">
        <f>IF(A464="","",IF(I464&lt;=0,"Sold out",IF(K464&gt;=Inputs!$B$18,"Dead",IF(K464&gt;=Inputs!$B$17,"Ageing",IF(K464&gt;=Inputs!$B$16,"Watch","Fresh")))))</f>
        <v/>
      </c>
      <c r="M464" s="5" t="str">
        <f t="shared" si="37"/>
        <v/>
      </c>
      <c r="N464" s="12" t="str">
        <f t="shared" si="38"/>
        <v/>
      </c>
      <c r="O464" s="36" t="str">
        <f t="shared" si="39"/>
        <v/>
      </c>
    </row>
    <row r="465" spans="1:15" x14ac:dyDescent="0.25">
      <c r="A465" s="34"/>
      <c r="B465" s="33"/>
      <c r="C465" s="34"/>
      <c r="D465" s="34"/>
      <c r="E465" s="34"/>
      <c r="F465" s="34"/>
      <c r="G465" s="35"/>
      <c r="H465" s="34"/>
      <c r="I465" s="5" t="str">
        <f t="shared" si="35"/>
        <v/>
      </c>
      <c r="J465" s="12" t="str">
        <f t="shared" si="36"/>
        <v/>
      </c>
      <c r="K465" s="37" t="str">
        <f>IF(A465="","",Inputs!$B$11-B465)</f>
        <v/>
      </c>
      <c r="L465" s="5" t="str">
        <f>IF(A465="","",IF(I465&lt;=0,"Sold out",IF(K465&gt;=Inputs!$B$18,"Dead",IF(K465&gt;=Inputs!$B$17,"Ageing",IF(K465&gt;=Inputs!$B$16,"Watch","Fresh")))))</f>
        <v/>
      </c>
      <c r="M465" s="5" t="str">
        <f t="shared" si="37"/>
        <v/>
      </c>
      <c r="N465" s="12" t="str">
        <f t="shared" si="38"/>
        <v/>
      </c>
      <c r="O465" s="36" t="str">
        <f t="shared" si="39"/>
        <v/>
      </c>
    </row>
    <row r="466" spans="1:15" x14ac:dyDescent="0.25">
      <c r="A466" s="34"/>
      <c r="B466" s="33"/>
      <c r="C466" s="34"/>
      <c r="D466" s="34"/>
      <c r="E466" s="34"/>
      <c r="F466" s="34"/>
      <c r="G466" s="35"/>
      <c r="H466" s="34"/>
      <c r="I466" s="5" t="str">
        <f t="shared" si="35"/>
        <v/>
      </c>
      <c r="J466" s="12" t="str">
        <f t="shared" si="36"/>
        <v/>
      </c>
      <c r="K466" s="37" t="str">
        <f>IF(A466="","",Inputs!$B$11-B466)</f>
        <v/>
      </c>
      <c r="L466" s="5" t="str">
        <f>IF(A466="","",IF(I466&lt;=0,"Sold out",IF(K466&gt;=Inputs!$B$18,"Dead",IF(K466&gt;=Inputs!$B$17,"Ageing",IF(K466&gt;=Inputs!$B$16,"Watch","Fresh")))))</f>
        <v/>
      </c>
      <c r="M466" s="5" t="str">
        <f t="shared" si="37"/>
        <v/>
      </c>
      <c r="N466" s="12" t="str">
        <f t="shared" si="38"/>
        <v/>
      </c>
      <c r="O466" s="36" t="str">
        <f t="shared" si="39"/>
        <v/>
      </c>
    </row>
    <row r="467" spans="1:15" x14ac:dyDescent="0.25">
      <c r="A467" s="34"/>
      <c r="B467" s="33"/>
      <c r="C467" s="34"/>
      <c r="D467" s="34"/>
      <c r="E467" s="34"/>
      <c r="F467" s="34"/>
      <c r="G467" s="35"/>
      <c r="H467" s="34"/>
      <c r="I467" s="5" t="str">
        <f t="shared" si="35"/>
        <v/>
      </c>
      <c r="J467" s="12" t="str">
        <f t="shared" si="36"/>
        <v/>
      </c>
      <c r="K467" s="37" t="str">
        <f>IF(A467="","",Inputs!$B$11-B467)</f>
        <v/>
      </c>
      <c r="L467" s="5" t="str">
        <f>IF(A467="","",IF(I467&lt;=0,"Sold out",IF(K467&gt;=Inputs!$B$18,"Dead",IF(K467&gt;=Inputs!$B$17,"Ageing",IF(K467&gt;=Inputs!$B$16,"Watch","Fresh")))))</f>
        <v/>
      </c>
      <c r="M467" s="5" t="str">
        <f t="shared" si="37"/>
        <v/>
      </c>
      <c r="N467" s="12" t="str">
        <f t="shared" si="38"/>
        <v/>
      </c>
      <c r="O467" s="36" t="str">
        <f t="shared" si="39"/>
        <v/>
      </c>
    </row>
    <row r="468" spans="1:15" x14ac:dyDescent="0.25">
      <c r="A468" s="34"/>
      <c r="B468" s="33"/>
      <c r="C468" s="34"/>
      <c r="D468" s="34"/>
      <c r="E468" s="34"/>
      <c r="F468" s="34"/>
      <c r="G468" s="35"/>
      <c r="H468" s="34"/>
      <c r="I468" s="5" t="str">
        <f t="shared" si="35"/>
        <v/>
      </c>
      <c r="J468" s="12" t="str">
        <f t="shared" si="36"/>
        <v/>
      </c>
      <c r="K468" s="37" t="str">
        <f>IF(A468="","",Inputs!$B$11-B468)</f>
        <v/>
      </c>
      <c r="L468" s="5" t="str">
        <f>IF(A468="","",IF(I468&lt;=0,"Sold out",IF(K468&gt;=Inputs!$B$18,"Dead",IF(K468&gt;=Inputs!$B$17,"Ageing",IF(K468&gt;=Inputs!$B$16,"Watch","Fresh")))))</f>
        <v/>
      </c>
      <c r="M468" s="5" t="str">
        <f t="shared" si="37"/>
        <v/>
      </c>
      <c r="N468" s="12" t="str">
        <f t="shared" si="38"/>
        <v/>
      </c>
      <c r="O468" s="36" t="str">
        <f t="shared" si="39"/>
        <v/>
      </c>
    </row>
    <row r="469" spans="1:15" x14ac:dyDescent="0.25">
      <c r="A469" s="34"/>
      <c r="B469" s="33"/>
      <c r="C469" s="34"/>
      <c r="D469" s="34"/>
      <c r="E469" s="34"/>
      <c r="F469" s="34"/>
      <c r="G469" s="35"/>
      <c r="H469" s="34"/>
      <c r="I469" s="5" t="str">
        <f t="shared" si="35"/>
        <v/>
      </c>
      <c r="J469" s="12" t="str">
        <f t="shared" si="36"/>
        <v/>
      </c>
      <c r="K469" s="37" t="str">
        <f>IF(A469="","",Inputs!$B$11-B469)</f>
        <v/>
      </c>
      <c r="L469" s="5" t="str">
        <f>IF(A469="","",IF(I469&lt;=0,"Sold out",IF(K469&gt;=Inputs!$B$18,"Dead",IF(K469&gt;=Inputs!$B$17,"Ageing",IF(K469&gt;=Inputs!$B$16,"Watch","Fresh")))))</f>
        <v/>
      </c>
      <c r="M469" s="5" t="str">
        <f t="shared" si="37"/>
        <v/>
      </c>
      <c r="N469" s="12" t="str">
        <f t="shared" si="38"/>
        <v/>
      </c>
      <c r="O469" s="36" t="str">
        <f t="shared" si="39"/>
        <v/>
      </c>
    </row>
    <row r="470" spans="1:15" x14ac:dyDescent="0.25">
      <c r="A470" s="34"/>
      <c r="B470" s="33"/>
      <c r="C470" s="34"/>
      <c r="D470" s="34"/>
      <c r="E470" s="34"/>
      <c r="F470" s="34"/>
      <c r="G470" s="35"/>
      <c r="H470" s="34"/>
      <c r="I470" s="5" t="str">
        <f t="shared" si="35"/>
        <v/>
      </c>
      <c r="J470" s="12" t="str">
        <f t="shared" si="36"/>
        <v/>
      </c>
      <c r="K470" s="37" t="str">
        <f>IF(A470="","",Inputs!$B$11-B470)</f>
        <v/>
      </c>
      <c r="L470" s="5" t="str">
        <f>IF(A470="","",IF(I470&lt;=0,"Sold out",IF(K470&gt;=Inputs!$B$18,"Dead",IF(K470&gt;=Inputs!$B$17,"Ageing",IF(K470&gt;=Inputs!$B$16,"Watch","Fresh")))))</f>
        <v/>
      </c>
      <c r="M470" s="5" t="str">
        <f t="shared" si="37"/>
        <v/>
      </c>
      <c r="N470" s="12" t="str">
        <f t="shared" si="38"/>
        <v/>
      </c>
      <c r="O470" s="36" t="str">
        <f t="shared" si="39"/>
        <v/>
      </c>
    </row>
    <row r="471" spans="1:15" x14ac:dyDescent="0.25">
      <c r="A471" s="34"/>
      <c r="B471" s="33"/>
      <c r="C471" s="34"/>
      <c r="D471" s="34"/>
      <c r="E471" s="34"/>
      <c r="F471" s="34"/>
      <c r="G471" s="35"/>
      <c r="H471" s="34"/>
      <c r="I471" s="5" t="str">
        <f t="shared" si="35"/>
        <v/>
      </c>
      <c r="J471" s="12" t="str">
        <f t="shared" si="36"/>
        <v/>
      </c>
      <c r="K471" s="37" t="str">
        <f>IF(A471="","",Inputs!$B$11-B471)</f>
        <v/>
      </c>
      <c r="L471" s="5" t="str">
        <f>IF(A471="","",IF(I471&lt;=0,"Sold out",IF(K471&gt;=Inputs!$B$18,"Dead",IF(K471&gt;=Inputs!$B$17,"Ageing",IF(K471&gt;=Inputs!$B$16,"Watch","Fresh")))))</f>
        <v/>
      </c>
      <c r="M471" s="5" t="str">
        <f t="shared" si="37"/>
        <v/>
      </c>
      <c r="N471" s="12" t="str">
        <f t="shared" si="38"/>
        <v/>
      </c>
      <c r="O471" s="36" t="str">
        <f t="shared" si="39"/>
        <v/>
      </c>
    </row>
    <row r="472" spans="1:15" x14ac:dyDescent="0.25">
      <c r="A472" s="34"/>
      <c r="B472" s="33"/>
      <c r="C472" s="34"/>
      <c r="D472" s="34"/>
      <c r="E472" s="34"/>
      <c r="F472" s="34"/>
      <c r="G472" s="35"/>
      <c r="H472" s="34"/>
      <c r="I472" s="5" t="str">
        <f t="shared" si="35"/>
        <v/>
      </c>
      <c r="J472" s="12" t="str">
        <f t="shared" si="36"/>
        <v/>
      </c>
      <c r="K472" s="37" t="str">
        <f>IF(A472="","",Inputs!$B$11-B472)</f>
        <v/>
      </c>
      <c r="L472" s="5" t="str">
        <f>IF(A472="","",IF(I472&lt;=0,"Sold out",IF(K472&gt;=Inputs!$B$18,"Dead",IF(K472&gt;=Inputs!$B$17,"Ageing",IF(K472&gt;=Inputs!$B$16,"Watch","Fresh")))))</f>
        <v/>
      </c>
      <c r="M472" s="5" t="str">
        <f t="shared" si="37"/>
        <v/>
      </c>
      <c r="N472" s="12" t="str">
        <f t="shared" si="38"/>
        <v/>
      </c>
      <c r="O472" s="36" t="str">
        <f t="shared" si="39"/>
        <v/>
      </c>
    </row>
    <row r="473" spans="1:15" x14ac:dyDescent="0.25">
      <c r="A473" s="34"/>
      <c r="B473" s="33"/>
      <c r="C473" s="34"/>
      <c r="D473" s="34"/>
      <c r="E473" s="34"/>
      <c r="F473" s="34"/>
      <c r="G473" s="35"/>
      <c r="H473" s="34"/>
      <c r="I473" s="5" t="str">
        <f t="shared" si="35"/>
        <v/>
      </c>
      <c r="J473" s="12" t="str">
        <f t="shared" si="36"/>
        <v/>
      </c>
      <c r="K473" s="37" t="str">
        <f>IF(A473="","",Inputs!$B$11-B473)</f>
        <v/>
      </c>
      <c r="L473" s="5" t="str">
        <f>IF(A473="","",IF(I473&lt;=0,"Sold out",IF(K473&gt;=Inputs!$B$18,"Dead",IF(K473&gt;=Inputs!$B$17,"Ageing",IF(K473&gt;=Inputs!$B$16,"Watch","Fresh")))))</f>
        <v/>
      </c>
      <c r="M473" s="5" t="str">
        <f t="shared" si="37"/>
        <v/>
      </c>
      <c r="N473" s="12" t="str">
        <f t="shared" si="38"/>
        <v/>
      </c>
      <c r="O473" s="36" t="str">
        <f t="shared" si="39"/>
        <v/>
      </c>
    </row>
    <row r="474" spans="1:15" x14ac:dyDescent="0.25">
      <c r="A474" s="34"/>
      <c r="B474" s="33"/>
      <c r="C474" s="34"/>
      <c r="D474" s="34"/>
      <c r="E474" s="34"/>
      <c r="F474" s="34"/>
      <c r="G474" s="35"/>
      <c r="H474" s="34"/>
      <c r="I474" s="5" t="str">
        <f t="shared" si="35"/>
        <v/>
      </c>
      <c r="J474" s="12" t="str">
        <f t="shared" si="36"/>
        <v/>
      </c>
      <c r="K474" s="37" t="str">
        <f>IF(A474="","",Inputs!$B$11-B474)</f>
        <v/>
      </c>
      <c r="L474" s="5" t="str">
        <f>IF(A474="","",IF(I474&lt;=0,"Sold out",IF(K474&gt;=Inputs!$B$18,"Dead",IF(K474&gt;=Inputs!$B$17,"Ageing",IF(K474&gt;=Inputs!$B$16,"Watch","Fresh")))))</f>
        <v/>
      </c>
      <c r="M474" s="5" t="str">
        <f t="shared" si="37"/>
        <v/>
      </c>
      <c r="N474" s="12" t="str">
        <f t="shared" si="38"/>
        <v/>
      </c>
      <c r="O474" s="36" t="str">
        <f t="shared" si="39"/>
        <v/>
      </c>
    </row>
    <row r="475" spans="1:15" x14ac:dyDescent="0.25">
      <c r="A475" s="34"/>
      <c r="B475" s="33"/>
      <c r="C475" s="34"/>
      <c r="D475" s="34"/>
      <c r="E475" s="34"/>
      <c r="F475" s="34"/>
      <c r="G475" s="35"/>
      <c r="H475" s="34"/>
      <c r="I475" s="5" t="str">
        <f t="shared" si="35"/>
        <v/>
      </c>
      <c r="J475" s="12" t="str">
        <f t="shared" si="36"/>
        <v/>
      </c>
      <c r="K475" s="37" t="str">
        <f>IF(A475="","",Inputs!$B$11-B475)</f>
        <v/>
      </c>
      <c r="L475" s="5" t="str">
        <f>IF(A475="","",IF(I475&lt;=0,"Sold out",IF(K475&gt;=Inputs!$B$18,"Dead",IF(K475&gt;=Inputs!$B$17,"Ageing",IF(K475&gt;=Inputs!$B$16,"Watch","Fresh")))))</f>
        <v/>
      </c>
      <c r="M475" s="5" t="str">
        <f t="shared" si="37"/>
        <v/>
      </c>
      <c r="N475" s="12" t="str">
        <f t="shared" si="38"/>
        <v/>
      </c>
      <c r="O475" s="36" t="str">
        <f t="shared" si="39"/>
        <v/>
      </c>
    </row>
    <row r="476" spans="1:15" x14ac:dyDescent="0.25">
      <c r="A476" s="34"/>
      <c r="B476" s="33"/>
      <c r="C476" s="34"/>
      <c r="D476" s="34"/>
      <c r="E476" s="34"/>
      <c r="F476" s="34"/>
      <c r="G476" s="35"/>
      <c r="H476" s="34"/>
      <c r="I476" s="5" t="str">
        <f t="shared" si="35"/>
        <v/>
      </c>
      <c r="J476" s="12" t="str">
        <f t="shared" si="36"/>
        <v/>
      </c>
      <c r="K476" s="37" t="str">
        <f>IF(A476="","",Inputs!$B$11-B476)</f>
        <v/>
      </c>
      <c r="L476" s="5" t="str">
        <f>IF(A476="","",IF(I476&lt;=0,"Sold out",IF(K476&gt;=Inputs!$B$18,"Dead",IF(K476&gt;=Inputs!$B$17,"Ageing",IF(K476&gt;=Inputs!$B$16,"Watch","Fresh")))))</f>
        <v/>
      </c>
      <c r="M476" s="5" t="str">
        <f t="shared" si="37"/>
        <v/>
      </c>
      <c r="N476" s="12" t="str">
        <f t="shared" si="38"/>
        <v/>
      </c>
      <c r="O476" s="36" t="str">
        <f t="shared" si="39"/>
        <v/>
      </c>
    </row>
    <row r="477" spans="1:15" x14ac:dyDescent="0.25">
      <c r="A477" s="34"/>
      <c r="B477" s="33"/>
      <c r="C477" s="34"/>
      <c r="D477" s="34"/>
      <c r="E477" s="34"/>
      <c r="F477" s="34"/>
      <c r="G477" s="35"/>
      <c r="H477" s="34"/>
      <c r="I477" s="5" t="str">
        <f t="shared" si="35"/>
        <v/>
      </c>
      <c r="J477" s="12" t="str">
        <f t="shared" si="36"/>
        <v/>
      </c>
      <c r="K477" s="37" t="str">
        <f>IF(A477="","",Inputs!$B$11-B477)</f>
        <v/>
      </c>
      <c r="L477" s="5" t="str">
        <f>IF(A477="","",IF(I477&lt;=0,"Sold out",IF(K477&gt;=Inputs!$B$18,"Dead",IF(K477&gt;=Inputs!$B$17,"Ageing",IF(K477&gt;=Inputs!$B$16,"Watch","Fresh")))))</f>
        <v/>
      </c>
      <c r="M477" s="5" t="str">
        <f t="shared" si="37"/>
        <v/>
      </c>
      <c r="N477" s="12" t="str">
        <f t="shared" si="38"/>
        <v/>
      </c>
      <c r="O477" s="36" t="str">
        <f t="shared" si="39"/>
        <v/>
      </c>
    </row>
    <row r="478" spans="1:15" x14ac:dyDescent="0.25">
      <c r="A478" s="34"/>
      <c r="B478" s="33"/>
      <c r="C478" s="34"/>
      <c r="D478" s="34"/>
      <c r="E478" s="34"/>
      <c r="F478" s="34"/>
      <c r="G478" s="35"/>
      <c r="H478" s="34"/>
      <c r="I478" s="5" t="str">
        <f t="shared" si="35"/>
        <v/>
      </c>
      <c r="J478" s="12" t="str">
        <f t="shared" si="36"/>
        <v/>
      </c>
      <c r="K478" s="37" t="str">
        <f>IF(A478="","",Inputs!$B$11-B478)</f>
        <v/>
      </c>
      <c r="L478" s="5" t="str">
        <f>IF(A478="","",IF(I478&lt;=0,"Sold out",IF(K478&gt;=Inputs!$B$18,"Dead",IF(K478&gt;=Inputs!$B$17,"Ageing",IF(K478&gt;=Inputs!$B$16,"Watch","Fresh")))))</f>
        <v/>
      </c>
      <c r="M478" s="5" t="str">
        <f t="shared" si="37"/>
        <v/>
      </c>
      <c r="N478" s="12" t="str">
        <f t="shared" si="38"/>
        <v/>
      </c>
      <c r="O478" s="36" t="str">
        <f t="shared" si="39"/>
        <v/>
      </c>
    </row>
    <row r="479" spans="1:15" x14ac:dyDescent="0.25">
      <c r="A479" s="34"/>
      <c r="B479" s="33"/>
      <c r="C479" s="34"/>
      <c r="D479" s="34"/>
      <c r="E479" s="34"/>
      <c r="F479" s="34"/>
      <c r="G479" s="35"/>
      <c r="H479" s="34"/>
      <c r="I479" s="5" t="str">
        <f t="shared" si="35"/>
        <v/>
      </c>
      <c r="J479" s="12" t="str">
        <f t="shared" si="36"/>
        <v/>
      </c>
      <c r="K479" s="37" t="str">
        <f>IF(A479="","",Inputs!$B$11-B479)</f>
        <v/>
      </c>
      <c r="L479" s="5" t="str">
        <f>IF(A479="","",IF(I479&lt;=0,"Sold out",IF(K479&gt;=Inputs!$B$18,"Dead",IF(K479&gt;=Inputs!$B$17,"Ageing",IF(K479&gt;=Inputs!$B$16,"Watch","Fresh")))))</f>
        <v/>
      </c>
      <c r="M479" s="5" t="str">
        <f t="shared" si="37"/>
        <v/>
      </c>
      <c r="N479" s="12" t="str">
        <f t="shared" si="38"/>
        <v/>
      </c>
      <c r="O479" s="36" t="str">
        <f t="shared" si="39"/>
        <v/>
      </c>
    </row>
    <row r="480" spans="1:15" x14ac:dyDescent="0.25">
      <c r="A480" s="34"/>
      <c r="B480" s="33"/>
      <c r="C480" s="34"/>
      <c r="D480" s="34"/>
      <c r="E480" s="34"/>
      <c r="F480" s="34"/>
      <c r="G480" s="35"/>
      <c r="H480" s="34"/>
      <c r="I480" s="5" t="str">
        <f t="shared" si="35"/>
        <v/>
      </c>
      <c r="J480" s="12" t="str">
        <f t="shared" si="36"/>
        <v/>
      </c>
      <c r="K480" s="37" t="str">
        <f>IF(A480="","",Inputs!$B$11-B480)</f>
        <v/>
      </c>
      <c r="L480" s="5" t="str">
        <f>IF(A480="","",IF(I480&lt;=0,"Sold out",IF(K480&gt;=Inputs!$B$18,"Dead",IF(K480&gt;=Inputs!$B$17,"Ageing",IF(K480&gt;=Inputs!$B$16,"Watch","Fresh")))))</f>
        <v/>
      </c>
      <c r="M480" s="5" t="str">
        <f t="shared" si="37"/>
        <v/>
      </c>
      <c r="N480" s="12" t="str">
        <f t="shared" si="38"/>
        <v/>
      </c>
      <c r="O480" s="36" t="str">
        <f t="shared" si="39"/>
        <v/>
      </c>
    </row>
    <row r="481" spans="1:15" x14ac:dyDescent="0.25">
      <c r="A481" s="34"/>
      <c r="B481" s="33"/>
      <c r="C481" s="34"/>
      <c r="D481" s="34"/>
      <c r="E481" s="34"/>
      <c r="F481" s="34"/>
      <c r="G481" s="35"/>
      <c r="H481" s="34"/>
      <c r="I481" s="5" t="str">
        <f t="shared" si="35"/>
        <v/>
      </c>
      <c r="J481" s="12" t="str">
        <f t="shared" si="36"/>
        <v/>
      </c>
      <c r="K481" s="37" t="str">
        <f>IF(A481="","",Inputs!$B$11-B481)</f>
        <v/>
      </c>
      <c r="L481" s="5" t="str">
        <f>IF(A481="","",IF(I481&lt;=0,"Sold out",IF(K481&gt;=Inputs!$B$18,"Dead",IF(K481&gt;=Inputs!$B$17,"Ageing",IF(K481&gt;=Inputs!$B$16,"Watch","Fresh")))))</f>
        <v/>
      </c>
      <c r="M481" s="5" t="str">
        <f t="shared" si="37"/>
        <v/>
      </c>
      <c r="N481" s="12" t="str">
        <f t="shared" si="38"/>
        <v/>
      </c>
      <c r="O481" s="36" t="str">
        <f t="shared" si="39"/>
        <v/>
      </c>
    </row>
    <row r="482" spans="1:15" x14ac:dyDescent="0.25">
      <c r="A482" s="34"/>
      <c r="B482" s="33"/>
      <c r="C482" s="34"/>
      <c r="D482" s="34"/>
      <c r="E482" s="34"/>
      <c r="F482" s="34"/>
      <c r="G482" s="35"/>
      <c r="H482" s="34"/>
      <c r="I482" s="5" t="str">
        <f t="shared" si="35"/>
        <v/>
      </c>
      <c r="J482" s="12" t="str">
        <f t="shared" si="36"/>
        <v/>
      </c>
      <c r="K482" s="37" t="str">
        <f>IF(A482="","",Inputs!$B$11-B482)</f>
        <v/>
      </c>
      <c r="L482" s="5" t="str">
        <f>IF(A482="","",IF(I482&lt;=0,"Sold out",IF(K482&gt;=Inputs!$B$18,"Dead",IF(K482&gt;=Inputs!$B$17,"Ageing",IF(K482&gt;=Inputs!$B$16,"Watch","Fresh")))))</f>
        <v/>
      </c>
      <c r="M482" s="5" t="str">
        <f t="shared" si="37"/>
        <v/>
      </c>
      <c r="N482" s="12" t="str">
        <f t="shared" si="38"/>
        <v/>
      </c>
      <c r="O482" s="36" t="str">
        <f t="shared" si="39"/>
        <v/>
      </c>
    </row>
    <row r="483" spans="1:15" x14ac:dyDescent="0.25">
      <c r="A483" s="34"/>
      <c r="B483" s="33"/>
      <c r="C483" s="34"/>
      <c r="D483" s="34"/>
      <c r="E483" s="34"/>
      <c r="F483" s="34"/>
      <c r="G483" s="35"/>
      <c r="H483" s="34"/>
      <c r="I483" s="5" t="str">
        <f t="shared" si="35"/>
        <v/>
      </c>
      <c r="J483" s="12" t="str">
        <f t="shared" si="36"/>
        <v/>
      </c>
      <c r="K483" s="37" t="str">
        <f>IF(A483="","",Inputs!$B$11-B483)</f>
        <v/>
      </c>
      <c r="L483" s="5" t="str">
        <f>IF(A483="","",IF(I483&lt;=0,"Sold out",IF(K483&gt;=Inputs!$B$18,"Dead",IF(K483&gt;=Inputs!$B$17,"Ageing",IF(K483&gt;=Inputs!$B$16,"Watch","Fresh")))))</f>
        <v/>
      </c>
      <c r="M483" s="5" t="str">
        <f t="shared" si="37"/>
        <v/>
      </c>
      <c r="N483" s="12" t="str">
        <f t="shared" si="38"/>
        <v/>
      </c>
      <c r="O483" s="36" t="str">
        <f t="shared" si="39"/>
        <v/>
      </c>
    </row>
    <row r="484" spans="1:15" x14ac:dyDescent="0.25">
      <c r="A484" s="34"/>
      <c r="B484" s="33"/>
      <c r="C484" s="34"/>
      <c r="D484" s="34"/>
      <c r="E484" s="34"/>
      <c r="F484" s="34"/>
      <c r="G484" s="35"/>
      <c r="H484" s="34"/>
      <c r="I484" s="5" t="str">
        <f t="shared" si="35"/>
        <v/>
      </c>
      <c r="J484" s="12" t="str">
        <f t="shared" si="36"/>
        <v/>
      </c>
      <c r="K484" s="37" t="str">
        <f>IF(A484="","",Inputs!$B$11-B484)</f>
        <v/>
      </c>
      <c r="L484" s="5" t="str">
        <f>IF(A484="","",IF(I484&lt;=0,"Sold out",IF(K484&gt;=Inputs!$B$18,"Dead",IF(K484&gt;=Inputs!$B$17,"Ageing",IF(K484&gt;=Inputs!$B$16,"Watch","Fresh")))))</f>
        <v/>
      </c>
      <c r="M484" s="5" t="str">
        <f t="shared" si="37"/>
        <v/>
      </c>
      <c r="N484" s="12" t="str">
        <f t="shared" si="38"/>
        <v/>
      </c>
      <c r="O484" s="36" t="str">
        <f t="shared" si="39"/>
        <v/>
      </c>
    </row>
    <row r="485" spans="1:15" x14ac:dyDescent="0.25">
      <c r="A485" s="34"/>
      <c r="B485" s="33"/>
      <c r="C485" s="34"/>
      <c r="D485" s="34"/>
      <c r="E485" s="34"/>
      <c r="F485" s="34"/>
      <c r="G485" s="35"/>
      <c r="H485" s="34"/>
      <c r="I485" s="5" t="str">
        <f t="shared" si="35"/>
        <v/>
      </c>
      <c r="J485" s="12" t="str">
        <f t="shared" si="36"/>
        <v/>
      </c>
      <c r="K485" s="37" t="str">
        <f>IF(A485="","",Inputs!$B$11-B485)</f>
        <v/>
      </c>
      <c r="L485" s="5" t="str">
        <f>IF(A485="","",IF(I485&lt;=0,"Sold out",IF(K485&gt;=Inputs!$B$18,"Dead",IF(K485&gt;=Inputs!$B$17,"Ageing",IF(K485&gt;=Inputs!$B$16,"Watch","Fresh")))))</f>
        <v/>
      </c>
      <c r="M485" s="5" t="str">
        <f t="shared" si="37"/>
        <v/>
      </c>
      <c r="N485" s="12" t="str">
        <f t="shared" si="38"/>
        <v/>
      </c>
      <c r="O485" s="36" t="str">
        <f t="shared" si="39"/>
        <v/>
      </c>
    </row>
    <row r="486" spans="1:15" x14ac:dyDescent="0.25">
      <c r="A486" s="34"/>
      <c r="B486" s="33"/>
      <c r="C486" s="34"/>
      <c r="D486" s="34"/>
      <c r="E486" s="34"/>
      <c r="F486" s="34"/>
      <c r="G486" s="35"/>
      <c r="H486" s="34"/>
      <c r="I486" s="5" t="str">
        <f t="shared" si="35"/>
        <v/>
      </c>
      <c r="J486" s="12" t="str">
        <f t="shared" si="36"/>
        <v/>
      </c>
      <c r="K486" s="37" t="str">
        <f>IF(A486="","",Inputs!$B$11-B486)</f>
        <v/>
      </c>
      <c r="L486" s="5" t="str">
        <f>IF(A486="","",IF(I486&lt;=0,"Sold out",IF(K486&gt;=Inputs!$B$18,"Dead",IF(K486&gt;=Inputs!$B$17,"Ageing",IF(K486&gt;=Inputs!$B$16,"Watch","Fresh")))))</f>
        <v/>
      </c>
      <c r="M486" s="5" t="str">
        <f t="shared" si="37"/>
        <v/>
      </c>
      <c r="N486" s="12" t="str">
        <f t="shared" si="38"/>
        <v/>
      </c>
      <c r="O486" s="36" t="str">
        <f t="shared" si="39"/>
        <v/>
      </c>
    </row>
    <row r="487" spans="1:15" x14ac:dyDescent="0.25">
      <c r="A487" s="34"/>
      <c r="B487" s="33"/>
      <c r="C487" s="34"/>
      <c r="D487" s="34"/>
      <c r="E487" s="34"/>
      <c r="F487" s="34"/>
      <c r="G487" s="35"/>
      <c r="H487" s="34"/>
      <c r="I487" s="5" t="str">
        <f t="shared" si="35"/>
        <v/>
      </c>
      <c r="J487" s="12" t="str">
        <f t="shared" si="36"/>
        <v/>
      </c>
      <c r="K487" s="37" t="str">
        <f>IF(A487="","",Inputs!$B$11-B487)</f>
        <v/>
      </c>
      <c r="L487" s="5" t="str">
        <f>IF(A487="","",IF(I487&lt;=0,"Sold out",IF(K487&gt;=Inputs!$B$18,"Dead",IF(K487&gt;=Inputs!$B$17,"Ageing",IF(K487&gt;=Inputs!$B$16,"Watch","Fresh")))))</f>
        <v/>
      </c>
      <c r="M487" s="5" t="str">
        <f t="shared" si="37"/>
        <v/>
      </c>
      <c r="N487" s="12" t="str">
        <f t="shared" si="38"/>
        <v/>
      </c>
      <c r="O487" s="36" t="str">
        <f t="shared" si="39"/>
        <v/>
      </c>
    </row>
    <row r="488" spans="1:15" x14ac:dyDescent="0.25">
      <c r="A488" s="34"/>
      <c r="B488" s="33"/>
      <c r="C488" s="34"/>
      <c r="D488" s="34"/>
      <c r="E488" s="34"/>
      <c r="F488" s="34"/>
      <c r="G488" s="35"/>
      <c r="H488" s="34"/>
      <c r="I488" s="5" t="str">
        <f t="shared" si="35"/>
        <v/>
      </c>
      <c r="J488" s="12" t="str">
        <f t="shared" si="36"/>
        <v/>
      </c>
      <c r="K488" s="37" t="str">
        <f>IF(A488="","",Inputs!$B$11-B488)</f>
        <v/>
      </c>
      <c r="L488" s="5" t="str">
        <f>IF(A488="","",IF(I488&lt;=0,"Sold out",IF(K488&gt;=Inputs!$B$18,"Dead",IF(K488&gt;=Inputs!$B$17,"Ageing",IF(K488&gt;=Inputs!$B$16,"Watch","Fresh")))))</f>
        <v/>
      </c>
      <c r="M488" s="5" t="str">
        <f t="shared" si="37"/>
        <v/>
      </c>
      <c r="N488" s="12" t="str">
        <f t="shared" si="38"/>
        <v/>
      </c>
      <c r="O488" s="36" t="str">
        <f t="shared" si="39"/>
        <v/>
      </c>
    </row>
    <row r="489" spans="1:15" x14ac:dyDescent="0.25">
      <c r="A489" s="34"/>
      <c r="B489" s="33"/>
      <c r="C489" s="34"/>
      <c r="D489" s="34"/>
      <c r="E489" s="34"/>
      <c r="F489" s="34"/>
      <c r="G489" s="35"/>
      <c r="H489" s="34"/>
      <c r="I489" s="5" t="str">
        <f t="shared" si="35"/>
        <v/>
      </c>
      <c r="J489" s="12" t="str">
        <f t="shared" si="36"/>
        <v/>
      </c>
      <c r="K489" s="37" t="str">
        <f>IF(A489="","",Inputs!$B$11-B489)</f>
        <v/>
      </c>
      <c r="L489" s="5" t="str">
        <f>IF(A489="","",IF(I489&lt;=0,"Sold out",IF(K489&gt;=Inputs!$B$18,"Dead",IF(K489&gt;=Inputs!$B$17,"Ageing",IF(K489&gt;=Inputs!$B$16,"Watch","Fresh")))))</f>
        <v/>
      </c>
      <c r="M489" s="5" t="str">
        <f t="shared" si="37"/>
        <v/>
      </c>
      <c r="N489" s="12" t="str">
        <f t="shared" si="38"/>
        <v/>
      </c>
      <c r="O489" s="36" t="str">
        <f t="shared" si="39"/>
        <v/>
      </c>
    </row>
    <row r="490" spans="1:15" x14ac:dyDescent="0.25">
      <c r="A490" s="34"/>
      <c r="B490" s="33"/>
      <c r="C490" s="34"/>
      <c r="D490" s="34"/>
      <c r="E490" s="34"/>
      <c r="F490" s="34"/>
      <c r="G490" s="35"/>
      <c r="H490" s="34"/>
      <c r="I490" s="5" t="str">
        <f t="shared" si="35"/>
        <v/>
      </c>
      <c r="J490" s="12" t="str">
        <f t="shared" si="36"/>
        <v/>
      </c>
      <c r="K490" s="37" t="str">
        <f>IF(A490="","",Inputs!$B$11-B490)</f>
        <v/>
      </c>
      <c r="L490" s="5" t="str">
        <f>IF(A490="","",IF(I490&lt;=0,"Sold out",IF(K490&gt;=Inputs!$B$18,"Dead",IF(K490&gt;=Inputs!$B$17,"Ageing",IF(K490&gt;=Inputs!$B$16,"Watch","Fresh")))))</f>
        <v/>
      </c>
      <c r="M490" s="5" t="str">
        <f t="shared" si="37"/>
        <v/>
      </c>
      <c r="N490" s="12" t="str">
        <f t="shared" si="38"/>
        <v/>
      </c>
      <c r="O490" s="36" t="str">
        <f t="shared" si="39"/>
        <v/>
      </c>
    </row>
    <row r="491" spans="1:15" x14ac:dyDescent="0.25">
      <c r="A491" s="34"/>
      <c r="B491" s="33"/>
      <c r="C491" s="34"/>
      <c r="D491" s="34"/>
      <c r="E491" s="34"/>
      <c r="F491" s="34"/>
      <c r="G491" s="35"/>
      <c r="H491" s="34"/>
      <c r="I491" s="5" t="str">
        <f t="shared" si="35"/>
        <v/>
      </c>
      <c r="J491" s="12" t="str">
        <f t="shared" si="36"/>
        <v/>
      </c>
      <c r="K491" s="37" t="str">
        <f>IF(A491="","",Inputs!$B$11-B491)</f>
        <v/>
      </c>
      <c r="L491" s="5" t="str">
        <f>IF(A491="","",IF(I491&lt;=0,"Sold out",IF(K491&gt;=Inputs!$B$18,"Dead",IF(K491&gt;=Inputs!$B$17,"Ageing",IF(K491&gt;=Inputs!$B$16,"Watch","Fresh")))))</f>
        <v/>
      </c>
      <c r="M491" s="5" t="str">
        <f t="shared" si="37"/>
        <v/>
      </c>
      <c r="N491" s="12" t="str">
        <f t="shared" si="38"/>
        <v/>
      </c>
      <c r="O491" s="36" t="str">
        <f t="shared" si="39"/>
        <v/>
      </c>
    </row>
    <row r="492" spans="1:15" x14ac:dyDescent="0.25">
      <c r="A492" s="34"/>
      <c r="B492" s="33"/>
      <c r="C492" s="34"/>
      <c r="D492" s="34"/>
      <c r="E492" s="34"/>
      <c r="F492" s="34"/>
      <c r="G492" s="35"/>
      <c r="H492" s="34"/>
      <c r="I492" s="5" t="str">
        <f t="shared" si="35"/>
        <v/>
      </c>
      <c r="J492" s="12" t="str">
        <f t="shared" si="36"/>
        <v/>
      </c>
      <c r="K492" s="37" t="str">
        <f>IF(A492="","",Inputs!$B$11-B492)</f>
        <v/>
      </c>
      <c r="L492" s="5" t="str">
        <f>IF(A492="","",IF(I492&lt;=0,"Sold out",IF(K492&gt;=Inputs!$B$18,"Dead",IF(K492&gt;=Inputs!$B$17,"Ageing",IF(K492&gt;=Inputs!$B$16,"Watch","Fresh")))))</f>
        <v/>
      </c>
      <c r="M492" s="5" t="str">
        <f t="shared" si="37"/>
        <v/>
      </c>
      <c r="N492" s="12" t="str">
        <f t="shared" si="38"/>
        <v/>
      </c>
      <c r="O492" s="36" t="str">
        <f t="shared" si="39"/>
        <v/>
      </c>
    </row>
    <row r="493" spans="1:15" x14ac:dyDescent="0.25">
      <c r="A493" s="34"/>
      <c r="B493" s="33"/>
      <c r="C493" s="34"/>
      <c r="D493" s="34"/>
      <c r="E493" s="34"/>
      <c r="F493" s="34"/>
      <c r="G493" s="35"/>
      <c r="H493" s="34"/>
      <c r="I493" s="5" t="str">
        <f t="shared" si="35"/>
        <v/>
      </c>
      <c r="J493" s="12" t="str">
        <f t="shared" si="36"/>
        <v/>
      </c>
      <c r="K493" s="37" t="str">
        <f>IF(A493="","",Inputs!$B$11-B493)</f>
        <v/>
      </c>
      <c r="L493" s="5" t="str">
        <f>IF(A493="","",IF(I493&lt;=0,"Sold out",IF(K493&gt;=Inputs!$B$18,"Dead",IF(K493&gt;=Inputs!$B$17,"Ageing",IF(K493&gt;=Inputs!$B$16,"Watch","Fresh")))))</f>
        <v/>
      </c>
      <c r="M493" s="5" t="str">
        <f t="shared" si="37"/>
        <v/>
      </c>
      <c r="N493" s="12" t="str">
        <f t="shared" si="38"/>
        <v/>
      </c>
      <c r="O493" s="36" t="str">
        <f t="shared" si="39"/>
        <v/>
      </c>
    </row>
    <row r="494" spans="1:15" x14ac:dyDescent="0.25">
      <c r="A494" s="34"/>
      <c r="B494" s="33"/>
      <c r="C494" s="34"/>
      <c r="D494" s="34"/>
      <c r="E494" s="34"/>
      <c r="F494" s="34"/>
      <c r="G494" s="35"/>
      <c r="H494" s="34"/>
      <c r="I494" s="5" t="str">
        <f t="shared" si="35"/>
        <v/>
      </c>
      <c r="J494" s="12" t="str">
        <f t="shared" si="36"/>
        <v/>
      </c>
      <c r="K494" s="37" t="str">
        <f>IF(A494="","",Inputs!$B$11-B494)</f>
        <v/>
      </c>
      <c r="L494" s="5" t="str">
        <f>IF(A494="","",IF(I494&lt;=0,"Sold out",IF(K494&gt;=Inputs!$B$18,"Dead",IF(K494&gt;=Inputs!$B$17,"Ageing",IF(K494&gt;=Inputs!$B$16,"Watch","Fresh")))))</f>
        <v/>
      </c>
      <c r="M494" s="5" t="str">
        <f t="shared" si="37"/>
        <v/>
      </c>
      <c r="N494" s="12" t="str">
        <f t="shared" si="38"/>
        <v/>
      </c>
      <c r="O494" s="36" t="str">
        <f t="shared" si="39"/>
        <v/>
      </c>
    </row>
    <row r="495" spans="1:15" x14ac:dyDescent="0.25">
      <c r="A495" s="34"/>
      <c r="B495" s="33"/>
      <c r="C495" s="34"/>
      <c r="D495" s="34"/>
      <c r="E495" s="34"/>
      <c r="F495" s="34"/>
      <c r="G495" s="35"/>
      <c r="H495" s="34"/>
      <c r="I495" s="5" t="str">
        <f t="shared" si="35"/>
        <v/>
      </c>
      <c r="J495" s="12" t="str">
        <f t="shared" si="36"/>
        <v/>
      </c>
      <c r="K495" s="37" t="str">
        <f>IF(A495="","",Inputs!$B$11-B495)</f>
        <v/>
      </c>
      <c r="L495" s="5" t="str">
        <f>IF(A495="","",IF(I495&lt;=0,"Sold out",IF(K495&gt;=Inputs!$B$18,"Dead",IF(K495&gt;=Inputs!$B$17,"Ageing",IF(K495&gt;=Inputs!$B$16,"Watch","Fresh")))))</f>
        <v/>
      </c>
      <c r="M495" s="5" t="str">
        <f t="shared" si="37"/>
        <v/>
      </c>
      <c r="N495" s="12" t="str">
        <f t="shared" si="38"/>
        <v/>
      </c>
      <c r="O495" s="36" t="str">
        <f t="shared" si="39"/>
        <v/>
      </c>
    </row>
    <row r="496" spans="1:15" x14ac:dyDescent="0.25">
      <c r="A496" s="34"/>
      <c r="B496" s="33"/>
      <c r="C496" s="34"/>
      <c r="D496" s="34"/>
      <c r="E496" s="34"/>
      <c r="F496" s="34"/>
      <c r="G496" s="35"/>
      <c r="H496" s="34"/>
      <c r="I496" s="5" t="str">
        <f t="shared" si="35"/>
        <v/>
      </c>
      <c r="J496" s="12" t="str">
        <f t="shared" si="36"/>
        <v/>
      </c>
      <c r="K496" s="37" t="str">
        <f>IF(A496="","",Inputs!$B$11-B496)</f>
        <v/>
      </c>
      <c r="L496" s="5" t="str">
        <f>IF(A496="","",IF(I496&lt;=0,"Sold out",IF(K496&gt;=Inputs!$B$18,"Dead",IF(K496&gt;=Inputs!$B$17,"Ageing",IF(K496&gt;=Inputs!$B$16,"Watch","Fresh")))))</f>
        <v/>
      </c>
      <c r="M496" s="5" t="str">
        <f t="shared" si="37"/>
        <v/>
      </c>
      <c r="N496" s="12" t="str">
        <f t="shared" si="38"/>
        <v/>
      </c>
      <c r="O496" s="36" t="str">
        <f t="shared" si="39"/>
        <v/>
      </c>
    </row>
    <row r="497" spans="1:15" x14ac:dyDescent="0.25">
      <c r="A497" s="34"/>
      <c r="B497" s="33"/>
      <c r="C497" s="34"/>
      <c r="D497" s="34"/>
      <c r="E497" s="34"/>
      <c r="F497" s="34"/>
      <c r="G497" s="35"/>
      <c r="H497" s="34"/>
      <c r="I497" s="5" t="str">
        <f t="shared" si="35"/>
        <v/>
      </c>
      <c r="J497" s="12" t="str">
        <f t="shared" si="36"/>
        <v/>
      </c>
      <c r="K497" s="37" t="str">
        <f>IF(A497="","",Inputs!$B$11-B497)</f>
        <v/>
      </c>
      <c r="L497" s="5" t="str">
        <f>IF(A497="","",IF(I497&lt;=0,"Sold out",IF(K497&gt;=Inputs!$B$18,"Dead",IF(K497&gt;=Inputs!$B$17,"Ageing",IF(K497&gt;=Inputs!$B$16,"Watch","Fresh")))))</f>
        <v/>
      </c>
      <c r="M497" s="5" t="str">
        <f t="shared" si="37"/>
        <v/>
      </c>
      <c r="N497" s="12" t="str">
        <f t="shared" si="38"/>
        <v/>
      </c>
      <c r="O497" s="36" t="str">
        <f t="shared" si="39"/>
        <v/>
      </c>
    </row>
    <row r="498" spans="1:15" x14ac:dyDescent="0.25">
      <c r="A498" s="34"/>
      <c r="B498" s="33"/>
      <c r="C498" s="34"/>
      <c r="D498" s="34"/>
      <c r="E498" s="34"/>
      <c r="F498" s="34"/>
      <c r="G498" s="35"/>
      <c r="H498" s="34"/>
      <c r="I498" s="5" t="str">
        <f t="shared" si="35"/>
        <v/>
      </c>
      <c r="J498" s="12" t="str">
        <f t="shared" si="36"/>
        <v/>
      </c>
      <c r="K498" s="37" t="str">
        <f>IF(A498="","",Inputs!$B$11-B498)</f>
        <v/>
      </c>
      <c r="L498" s="5" t="str">
        <f>IF(A498="","",IF(I498&lt;=0,"Sold out",IF(K498&gt;=Inputs!$B$18,"Dead",IF(K498&gt;=Inputs!$B$17,"Ageing",IF(K498&gt;=Inputs!$B$16,"Watch","Fresh")))))</f>
        <v/>
      </c>
      <c r="M498" s="5" t="str">
        <f t="shared" si="37"/>
        <v/>
      </c>
      <c r="N498" s="12" t="str">
        <f t="shared" si="38"/>
        <v/>
      </c>
      <c r="O498" s="36" t="str">
        <f t="shared" si="39"/>
        <v/>
      </c>
    </row>
    <row r="499" spans="1:15" x14ac:dyDescent="0.25">
      <c r="A499" s="34"/>
      <c r="B499" s="33"/>
      <c r="C499" s="34"/>
      <c r="D499" s="34"/>
      <c r="E499" s="34"/>
      <c r="F499" s="34"/>
      <c r="G499" s="35"/>
      <c r="H499" s="34"/>
      <c r="I499" s="5" t="str">
        <f t="shared" si="35"/>
        <v/>
      </c>
      <c r="J499" s="12" t="str">
        <f t="shared" si="36"/>
        <v/>
      </c>
      <c r="K499" s="37" t="str">
        <f>IF(A499="","",Inputs!$B$11-B499)</f>
        <v/>
      </c>
      <c r="L499" s="5" t="str">
        <f>IF(A499="","",IF(I499&lt;=0,"Sold out",IF(K499&gt;=Inputs!$B$18,"Dead",IF(K499&gt;=Inputs!$B$17,"Ageing",IF(K499&gt;=Inputs!$B$16,"Watch","Fresh")))))</f>
        <v/>
      </c>
      <c r="M499" s="5" t="str">
        <f t="shared" si="37"/>
        <v/>
      </c>
      <c r="N499" s="12" t="str">
        <f t="shared" si="38"/>
        <v/>
      </c>
      <c r="O499" s="36" t="str">
        <f t="shared" si="39"/>
        <v/>
      </c>
    </row>
    <row r="500" spans="1:15" x14ac:dyDescent="0.25">
      <c r="A500" s="34"/>
      <c r="B500" s="33"/>
      <c r="C500" s="34"/>
      <c r="D500" s="34"/>
      <c r="E500" s="34"/>
      <c r="F500" s="34"/>
      <c r="G500" s="35"/>
      <c r="H500" s="34"/>
      <c r="I500" s="5" t="str">
        <f t="shared" si="35"/>
        <v/>
      </c>
      <c r="J500" s="12" t="str">
        <f t="shared" si="36"/>
        <v/>
      </c>
      <c r="K500" s="37" t="str">
        <f>IF(A500="","",Inputs!$B$11-B500)</f>
        <v/>
      </c>
      <c r="L500" s="5" t="str">
        <f>IF(A500="","",IF(I500&lt;=0,"Sold out",IF(K500&gt;=Inputs!$B$18,"Dead",IF(K500&gt;=Inputs!$B$17,"Ageing",IF(K500&gt;=Inputs!$B$16,"Watch","Fresh")))))</f>
        <v/>
      </c>
      <c r="M500" s="5" t="str">
        <f t="shared" si="37"/>
        <v/>
      </c>
      <c r="N500" s="12" t="str">
        <f t="shared" si="38"/>
        <v/>
      </c>
      <c r="O500" s="36" t="str">
        <f t="shared" si="39"/>
        <v/>
      </c>
    </row>
    <row r="501" spans="1:15" x14ac:dyDescent="0.25">
      <c r="A501" s="34"/>
      <c r="B501" s="33"/>
      <c r="C501" s="34"/>
      <c r="D501" s="34"/>
      <c r="E501" s="34"/>
      <c r="F501" s="34"/>
      <c r="G501" s="35"/>
      <c r="H501" s="34"/>
      <c r="I501" s="5" t="str">
        <f t="shared" si="35"/>
        <v/>
      </c>
      <c r="J501" s="12" t="str">
        <f t="shared" si="36"/>
        <v/>
      </c>
      <c r="K501" s="37" t="str">
        <f>IF(A501="","",Inputs!$B$11-B501)</f>
        <v/>
      </c>
      <c r="L501" s="5" t="str">
        <f>IF(A501="","",IF(I501&lt;=0,"Sold out",IF(K501&gt;=Inputs!$B$18,"Dead",IF(K501&gt;=Inputs!$B$17,"Ageing",IF(K501&gt;=Inputs!$B$16,"Watch","Fresh")))))</f>
        <v/>
      </c>
      <c r="M501" s="5" t="str">
        <f t="shared" si="37"/>
        <v/>
      </c>
      <c r="N501" s="12" t="str">
        <f t="shared" si="38"/>
        <v/>
      </c>
      <c r="O501" s="36" t="str">
        <f t="shared" si="39"/>
        <v/>
      </c>
    </row>
    <row r="502" spans="1:15" x14ac:dyDescent="0.25">
      <c r="A502" s="34"/>
      <c r="B502" s="33"/>
      <c r="C502" s="34"/>
      <c r="D502" s="34"/>
      <c r="E502" s="34"/>
      <c r="F502" s="34"/>
      <c r="G502" s="35"/>
      <c r="H502" s="34"/>
      <c r="I502" s="5" t="str">
        <f t="shared" si="35"/>
        <v/>
      </c>
      <c r="J502" s="12" t="str">
        <f t="shared" si="36"/>
        <v/>
      </c>
      <c r="K502" s="37" t="str">
        <f>IF(A502="","",Inputs!$B$11-B502)</f>
        <v/>
      </c>
      <c r="L502" s="5" t="str">
        <f>IF(A502="","",IF(I502&lt;=0,"Sold out",IF(K502&gt;=Inputs!$B$18,"Dead",IF(K502&gt;=Inputs!$B$17,"Ageing",IF(K502&gt;=Inputs!$B$16,"Watch","Fresh")))))</f>
        <v/>
      </c>
      <c r="M502" s="5" t="str">
        <f t="shared" si="37"/>
        <v/>
      </c>
      <c r="N502" s="12" t="str">
        <f t="shared" si="38"/>
        <v/>
      </c>
      <c r="O502" s="36" t="str">
        <f t="shared" si="39"/>
        <v/>
      </c>
    </row>
    <row r="503" spans="1:15" x14ac:dyDescent="0.25">
      <c r="A503" s="34"/>
      <c r="B503" s="33"/>
      <c r="C503" s="34"/>
      <c r="D503" s="34"/>
      <c r="E503" s="34"/>
      <c r="F503" s="34"/>
      <c r="G503" s="35"/>
      <c r="H503" s="34"/>
      <c r="I503" s="5" t="str">
        <f t="shared" si="35"/>
        <v/>
      </c>
      <c r="J503" s="12" t="str">
        <f t="shared" si="36"/>
        <v/>
      </c>
      <c r="K503" s="37" t="str">
        <f>IF(A503="","",Inputs!$B$11-B503)</f>
        <v/>
      </c>
      <c r="L503" s="5" t="str">
        <f>IF(A503="","",IF(I503&lt;=0,"Sold out",IF(K503&gt;=Inputs!$B$18,"Dead",IF(K503&gt;=Inputs!$B$17,"Ageing",IF(K503&gt;=Inputs!$B$16,"Watch","Fresh")))))</f>
        <v/>
      </c>
      <c r="M503" s="5" t="str">
        <f t="shared" si="37"/>
        <v/>
      </c>
      <c r="N503" s="12" t="str">
        <f t="shared" si="38"/>
        <v/>
      </c>
      <c r="O503" s="36" t="str">
        <f t="shared" si="39"/>
        <v/>
      </c>
    </row>
    <row r="504" spans="1:15" x14ac:dyDescent="0.25">
      <c r="A504" s="34"/>
      <c r="B504" s="33"/>
      <c r="C504" s="34"/>
      <c r="D504" s="34"/>
      <c r="E504" s="34"/>
      <c r="F504" s="34"/>
      <c r="G504" s="35"/>
      <c r="H504" s="34"/>
      <c r="I504" s="5" t="str">
        <f t="shared" si="35"/>
        <v/>
      </c>
      <c r="J504" s="12" t="str">
        <f t="shared" si="36"/>
        <v/>
      </c>
      <c r="K504" s="37" t="str">
        <f>IF(A504="","",Inputs!$B$11-B504)</f>
        <v/>
      </c>
      <c r="L504" s="5" t="str">
        <f>IF(A504="","",IF(I504&lt;=0,"Sold out",IF(K504&gt;=Inputs!$B$18,"Dead",IF(K504&gt;=Inputs!$B$17,"Ageing",IF(K504&gt;=Inputs!$B$16,"Watch","Fresh")))))</f>
        <v/>
      </c>
      <c r="M504" s="5" t="str">
        <f t="shared" si="37"/>
        <v/>
      </c>
      <c r="N504" s="12" t="str">
        <f t="shared" si="38"/>
        <v/>
      </c>
      <c r="O504" s="36" t="str">
        <f t="shared" si="39"/>
        <v/>
      </c>
    </row>
    <row r="505" spans="1:15" x14ac:dyDescent="0.25">
      <c r="A505" s="34"/>
      <c r="B505" s="33"/>
      <c r="C505" s="34"/>
      <c r="D505" s="34"/>
      <c r="E505" s="34"/>
      <c r="F505" s="34"/>
      <c r="G505" s="35"/>
      <c r="H505" s="34"/>
      <c r="I505" s="5" t="str">
        <f t="shared" si="35"/>
        <v/>
      </c>
      <c r="J505" s="12" t="str">
        <f t="shared" si="36"/>
        <v/>
      </c>
      <c r="K505" s="37" t="str">
        <f>IF(A505="","",Inputs!$B$11-B505)</f>
        <v/>
      </c>
      <c r="L505" s="5" t="str">
        <f>IF(A505="","",IF(I505&lt;=0,"Sold out",IF(K505&gt;=Inputs!$B$18,"Dead",IF(K505&gt;=Inputs!$B$17,"Ageing",IF(K505&gt;=Inputs!$B$16,"Watch","Fresh")))))</f>
        <v/>
      </c>
      <c r="M505" s="5" t="str">
        <f t="shared" si="37"/>
        <v/>
      </c>
      <c r="N505" s="12" t="str">
        <f t="shared" si="38"/>
        <v/>
      </c>
      <c r="O505" s="36" t="str">
        <f t="shared" si="39"/>
        <v/>
      </c>
    </row>
    <row r="506" spans="1:15" x14ac:dyDescent="0.25">
      <c r="A506" s="34"/>
      <c r="B506" s="33"/>
      <c r="C506" s="34"/>
      <c r="D506" s="34"/>
      <c r="E506" s="34"/>
      <c r="F506" s="34"/>
      <c r="G506" s="35"/>
      <c r="H506" s="34"/>
      <c r="I506" s="5" t="str">
        <f t="shared" si="35"/>
        <v/>
      </c>
      <c r="J506" s="12" t="str">
        <f t="shared" si="36"/>
        <v/>
      </c>
      <c r="K506" s="37" t="str">
        <f>IF(A506="","",Inputs!$B$11-B506)</f>
        <v/>
      </c>
      <c r="L506" s="5" t="str">
        <f>IF(A506="","",IF(I506&lt;=0,"Sold out",IF(K506&gt;=Inputs!$B$18,"Dead",IF(K506&gt;=Inputs!$B$17,"Ageing",IF(K506&gt;=Inputs!$B$16,"Watch","Fresh")))))</f>
        <v/>
      </c>
      <c r="M506" s="5" t="str">
        <f t="shared" si="37"/>
        <v/>
      </c>
      <c r="N506" s="12" t="str">
        <f t="shared" si="38"/>
        <v/>
      </c>
      <c r="O506" s="36" t="str">
        <f t="shared" si="39"/>
        <v/>
      </c>
    </row>
    <row r="507" spans="1:15" x14ac:dyDescent="0.25">
      <c r="A507" s="34"/>
      <c r="B507" s="33"/>
      <c r="C507" s="34"/>
      <c r="D507" s="34"/>
      <c r="E507" s="34"/>
      <c r="F507" s="34"/>
      <c r="G507" s="35"/>
      <c r="H507" s="34"/>
      <c r="I507" s="5" t="str">
        <f t="shared" si="35"/>
        <v/>
      </c>
      <c r="J507" s="12" t="str">
        <f t="shared" si="36"/>
        <v/>
      </c>
      <c r="K507" s="37" t="str">
        <f>IF(A507="","",Inputs!$B$11-B507)</f>
        <v/>
      </c>
      <c r="L507" s="5" t="str">
        <f>IF(A507="","",IF(I507&lt;=0,"Sold out",IF(K507&gt;=Inputs!$B$18,"Dead",IF(K507&gt;=Inputs!$B$17,"Ageing",IF(K507&gt;=Inputs!$B$16,"Watch","Fresh")))))</f>
        <v/>
      </c>
      <c r="M507" s="5" t="str">
        <f t="shared" si="37"/>
        <v/>
      </c>
      <c r="N507" s="12" t="str">
        <f t="shared" si="38"/>
        <v/>
      </c>
      <c r="O507" s="36" t="str">
        <f t="shared" si="39"/>
        <v/>
      </c>
    </row>
    <row r="508" spans="1:15" x14ac:dyDescent="0.25">
      <c r="A508" s="34"/>
      <c r="B508" s="33"/>
      <c r="C508" s="34"/>
      <c r="D508" s="34"/>
      <c r="E508" s="34"/>
      <c r="F508" s="34"/>
      <c r="G508" s="35"/>
      <c r="H508" s="34"/>
      <c r="I508" s="5" t="str">
        <f t="shared" si="35"/>
        <v/>
      </c>
      <c r="J508" s="12" t="str">
        <f t="shared" si="36"/>
        <v/>
      </c>
      <c r="K508" s="37" t="str">
        <f>IF(A508="","",Inputs!$B$11-B508)</f>
        <v/>
      </c>
      <c r="L508" s="5" t="str">
        <f>IF(A508="","",IF(I508&lt;=0,"Sold out",IF(K508&gt;=Inputs!$B$18,"Dead",IF(K508&gt;=Inputs!$B$17,"Ageing",IF(K508&gt;=Inputs!$B$16,"Watch","Fresh")))))</f>
        <v/>
      </c>
      <c r="M508" s="5" t="str">
        <f t="shared" si="37"/>
        <v/>
      </c>
      <c r="N508" s="12" t="str">
        <f t="shared" si="38"/>
        <v/>
      </c>
      <c r="O508" s="36" t="str">
        <f t="shared" si="39"/>
        <v/>
      </c>
    </row>
    <row r="509" spans="1:15" x14ac:dyDescent="0.25">
      <c r="A509" s="34"/>
      <c r="B509" s="33"/>
      <c r="C509" s="34"/>
      <c r="D509" s="34"/>
      <c r="E509" s="34"/>
      <c r="F509" s="34"/>
      <c r="G509" s="35"/>
      <c r="H509" s="34"/>
      <c r="I509" s="5" t="str">
        <f t="shared" si="35"/>
        <v/>
      </c>
      <c r="J509" s="12" t="str">
        <f t="shared" si="36"/>
        <v/>
      </c>
      <c r="K509" s="37" t="str">
        <f>IF(A509="","",Inputs!$B$11-B509)</f>
        <v/>
      </c>
      <c r="L509" s="5" t="str">
        <f>IF(A509="","",IF(I509&lt;=0,"Sold out",IF(K509&gt;=Inputs!$B$18,"Dead",IF(K509&gt;=Inputs!$B$17,"Ageing",IF(K509&gt;=Inputs!$B$16,"Watch","Fresh")))))</f>
        <v/>
      </c>
      <c r="M509" s="5" t="str">
        <f t="shared" si="37"/>
        <v/>
      </c>
      <c r="N509" s="12" t="str">
        <f t="shared" si="38"/>
        <v/>
      </c>
      <c r="O509" s="36" t="str">
        <f t="shared" si="39"/>
        <v/>
      </c>
    </row>
    <row r="510" spans="1:15" x14ac:dyDescent="0.25">
      <c r="A510" s="34"/>
      <c r="B510" s="33"/>
      <c r="C510" s="34"/>
      <c r="D510" s="34"/>
      <c r="E510" s="34"/>
      <c r="F510" s="34"/>
      <c r="G510" s="35"/>
      <c r="H510" s="34"/>
      <c r="I510" s="5" t="str">
        <f t="shared" si="35"/>
        <v/>
      </c>
      <c r="J510" s="12" t="str">
        <f t="shared" si="36"/>
        <v/>
      </c>
      <c r="K510" s="37" t="str">
        <f>IF(A510="","",Inputs!$B$11-B510)</f>
        <v/>
      </c>
      <c r="L510" s="5" t="str">
        <f>IF(A510="","",IF(I510&lt;=0,"Sold out",IF(K510&gt;=Inputs!$B$18,"Dead",IF(K510&gt;=Inputs!$B$17,"Ageing",IF(K510&gt;=Inputs!$B$16,"Watch","Fresh")))))</f>
        <v/>
      </c>
      <c r="M510" s="5" t="str">
        <f t="shared" si="37"/>
        <v/>
      </c>
      <c r="N510" s="12" t="str">
        <f t="shared" si="38"/>
        <v/>
      </c>
      <c r="O510" s="36" t="str">
        <f t="shared" si="39"/>
        <v/>
      </c>
    </row>
    <row r="511" spans="1:15" x14ac:dyDescent="0.25">
      <c r="A511" s="34"/>
      <c r="B511" s="33"/>
      <c r="C511" s="34"/>
      <c r="D511" s="34"/>
      <c r="E511" s="34"/>
      <c r="F511" s="34"/>
      <c r="G511" s="35"/>
      <c r="H511" s="34"/>
      <c r="I511" s="5" t="str">
        <f t="shared" si="35"/>
        <v/>
      </c>
      <c r="J511" s="12" t="str">
        <f t="shared" si="36"/>
        <v/>
      </c>
      <c r="K511" s="37" t="str">
        <f>IF(A511="","",Inputs!$B$11-B511)</f>
        <v/>
      </c>
      <c r="L511" s="5" t="str">
        <f>IF(A511="","",IF(I511&lt;=0,"Sold out",IF(K511&gt;=Inputs!$B$18,"Dead",IF(K511&gt;=Inputs!$B$17,"Ageing",IF(K511&gt;=Inputs!$B$16,"Watch","Fresh")))))</f>
        <v/>
      </c>
      <c r="M511" s="5" t="str">
        <f t="shared" si="37"/>
        <v/>
      </c>
      <c r="N511" s="12" t="str">
        <f t="shared" si="38"/>
        <v/>
      </c>
      <c r="O511" s="36" t="str">
        <f t="shared" si="39"/>
        <v/>
      </c>
    </row>
    <row r="512" spans="1:15" x14ac:dyDescent="0.25">
      <c r="A512" s="34"/>
      <c r="B512" s="33"/>
      <c r="C512" s="34"/>
      <c r="D512" s="34"/>
      <c r="E512" s="34"/>
      <c r="F512" s="34"/>
      <c r="G512" s="35"/>
      <c r="H512" s="34"/>
      <c r="I512" s="5" t="str">
        <f t="shared" si="35"/>
        <v/>
      </c>
      <c r="J512" s="12" t="str">
        <f t="shared" si="36"/>
        <v/>
      </c>
      <c r="K512" s="37" t="str">
        <f>IF(A512="","",Inputs!$B$11-B512)</f>
        <v/>
      </c>
      <c r="L512" s="5" t="str">
        <f>IF(A512="","",IF(I512&lt;=0,"Sold out",IF(K512&gt;=Inputs!$B$18,"Dead",IF(K512&gt;=Inputs!$B$17,"Ageing",IF(K512&gt;=Inputs!$B$16,"Watch","Fresh")))))</f>
        <v/>
      </c>
      <c r="M512" s="5" t="str">
        <f t="shared" si="37"/>
        <v/>
      </c>
      <c r="N512" s="12" t="str">
        <f t="shared" si="38"/>
        <v/>
      </c>
      <c r="O512" s="36" t="str">
        <f t="shared" si="39"/>
        <v/>
      </c>
    </row>
    <row r="513" spans="1:15" x14ac:dyDescent="0.25">
      <c r="A513" s="34"/>
      <c r="B513" s="33"/>
      <c r="C513" s="34"/>
      <c r="D513" s="34"/>
      <c r="E513" s="34"/>
      <c r="F513" s="34"/>
      <c r="G513" s="35"/>
      <c r="H513" s="34"/>
      <c r="I513" s="5" t="str">
        <f t="shared" si="35"/>
        <v/>
      </c>
      <c r="J513" s="12" t="str">
        <f t="shared" si="36"/>
        <v/>
      </c>
      <c r="K513" s="37" t="str">
        <f>IF(A513="","",Inputs!$B$11-B513)</f>
        <v/>
      </c>
      <c r="L513" s="5" t="str">
        <f>IF(A513="","",IF(I513&lt;=0,"Sold out",IF(K513&gt;=Inputs!$B$18,"Dead",IF(K513&gt;=Inputs!$B$17,"Ageing",IF(K513&gt;=Inputs!$B$16,"Watch","Fresh")))))</f>
        <v/>
      </c>
      <c r="M513" s="5" t="str">
        <f t="shared" si="37"/>
        <v/>
      </c>
      <c r="N513" s="12" t="str">
        <f t="shared" si="38"/>
        <v/>
      </c>
      <c r="O513" s="36" t="str">
        <f t="shared" si="39"/>
        <v/>
      </c>
    </row>
    <row r="514" spans="1:15" x14ac:dyDescent="0.25">
      <c r="A514" s="34"/>
      <c r="B514" s="33"/>
      <c r="C514" s="34"/>
      <c r="D514" s="34"/>
      <c r="E514" s="34"/>
      <c r="F514" s="34"/>
      <c r="G514" s="35"/>
      <c r="H514" s="34"/>
      <c r="I514" s="5" t="str">
        <f t="shared" si="35"/>
        <v/>
      </c>
      <c r="J514" s="12" t="str">
        <f t="shared" si="36"/>
        <v/>
      </c>
      <c r="K514" s="37" t="str">
        <f>IF(A514="","",Inputs!$B$11-B514)</f>
        <v/>
      </c>
      <c r="L514" s="5" t="str">
        <f>IF(A514="","",IF(I514&lt;=0,"Sold out",IF(K514&gt;=Inputs!$B$18,"Dead",IF(K514&gt;=Inputs!$B$17,"Ageing",IF(K514&gt;=Inputs!$B$16,"Watch","Fresh")))))</f>
        <v/>
      </c>
      <c r="M514" s="5" t="str">
        <f t="shared" si="37"/>
        <v/>
      </c>
      <c r="N514" s="12" t="str">
        <f t="shared" si="38"/>
        <v/>
      </c>
      <c r="O514" s="36" t="str">
        <f t="shared" si="39"/>
        <v/>
      </c>
    </row>
    <row r="515" spans="1:15" x14ac:dyDescent="0.25">
      <c r="A515" s="34"/>
      <c r="B515" s="33"/>
      <c r="C515" s="34"/>
      <c r="D515" s="34"/>
      <c r="E515" s="34"/>
      <c r="F515" s="34"/>
      <c r="G515" s="35"/>
      <c r="H515" s="34"/>
      <c r="I515" s="5" t="str">
        <f t="shared" si="35"/>
        <v/>
      </c>
      <c r="J515" s="12" t="str">
        <f t="shared" si="36"/>
        <v/>
      </c>
      <c r="K515" s="37" t="str">
        <f>IF(A515="","",Inputs!$B$11-B515)</f>
        <v/>
      </c>
      <c r="L515" s="5" t="str">
        <f>IF(A515="","",IF(I515&lt;=0,"Sold out",IF(K515&gt;=Inputs!$B$18,"Dead",IF(K515&gt;=Inputs!$B$17,"Ageing",IF(K515&gt;=Inputs!$B$16,"Watch","Fresh")))))</f>
        <v/>
      </c>
      <c r="M515" s="5" t="str">
        <f t="shared" si="37"/>
        <v/>
      </c>
      <c r="N515" s="12" t="str">
        <f t="shared" si="38"/>
        <v/>
      </c>
      <c r="O515" s="36" t="str">
        <f t="shared" si="39"/>
        <v/>
      </c>
    </row>
    <row r="516" spans="1:15" x14ac:dyDescent="0.25">
      <c r="A516" s="34"/>
      <c r="B516" s="33"/>
      <c r="C516" s="34"/>
      <c r="D516" s="34"/>
      <c r="E516" s="34"/>
      <c r="F516" s="34"/>
      <c r="G516" s="35"/>
      <c r="H516" s="34"/>
      <c r="I516" s="5" t="str">
        <f t="shared" si="35"/>
        <v/>
      </c>
      <c r="J516" s="12" t="str">
        <f t="shared" si="36"/>
        <v/>
      </c>
      <c r="K516" s="37" t="str">
        <f>IF(A516="","",Inputs!$B$11-B516)</f>
        <v/>
      </c>
      <c r="L516" s="5" t="str">
        <f>IF(A516="","",IF(I516&lt;=0,"Sold out",IF(K516&gt;=Inputs!$B$18,"Dead",IF(K516&gt;=Inputs!$B$17,"Ageing",IF(K516&gt;=Inputs!$B$16,"Watch","Fresh")))))</f>
        <v/>
      </c>
      <c r="M516" s="5" t="str">
        <f t="shared" si="37"/>
        <v/>
      </c>
      <c r="N516" s="12" t="str">
        <f t="shared" si="38"/>
        <v/>
      </c>
      <c r="O516" s="36" t="str">
        <f t="shared" si="39"/>
        <v/>
      </c>
    </row>
    <row r="517" spans="1:15" x14ac:dyDescent="0.25">
      <c r="A517" s="34"/>
      <c r="B517" s="33"/>
      <c r="C517" s="34"/>
      <c r="D517" s="34"/>
      <c r="E517" s="34"/>
      <c r="F517" s="34"/>
      <c r="G517" s="35"/>
      <c r="H517" s="34"/>
      <c r="I517" s="5" t="str">
        <f t="shared" si="35"/>
        <v/>
      </c>
      <c r="J517" s="12" t="str">
        <f t="shared" si="36"/>
        <v/>
      </c>
      <c r="K517" s="37" t="str">
        <f>IF(A517="","",Inputs!$B$11-B517)</f>
        <v/>
      </c>
      <c r="L517" s="5" t="str">
        <f>IF(A517="","",IF(I517&lt;=0,"Sold out",IF(K517&gt;=Inputs!$B$18,"Dead",IF(K517&gt;=Inputs!$B$17,"Ageing",IF(K517&gt;=Inputs!$B$16,"Watch","Fresh")))))</f>
        <v/>
      </c>
      <c r="M517" s="5" t="str">
        <f t="shared" si="37"/>
        <v/>
      </c>
      <c r="N517" s="12" t="str">
        <f t="shared" si="38"/>
        <v/>
      </c>
      <c r="O517" s="36" t="str">
        <f t="shared" si="39"/>
        <v/>
      </c>
    </row>
    <row r="518" spans="1:15" x14ac:dyDescent="0.25">
      <c r="A518" s="34"/>
      <c r="B518" s="33"/>
      <c r="C518" s="34"/>
      <c r="D518" s="34"/>
      <c r="E518" s="34"/>
      <c r="F518" s="34"/>
      <c r="G518" s="35"/>
      <c r="H518" s="34"/>
      <c r="I518" s="5" t="str">
        <f t="shared" ref="I518:I581" si="40">IF(A518="","",F518-H518)</f>
        <v/>
      </c>
      <c r="J518" s="12" t="str">
        <f t="shared" ref="J518:J581" si="41">IF(A518="","",I518*G518)</f>
        <v/>
      </c>
      <c r="K518" s="37" t="str">
        <f>IF(A518="","",Inputs!$B$11-B518)</f>
        <v/>
      </c>
      <c r="L518" s="5" t="str">
        <f>IF(A518="","",IF(I518&lt;=0,"Sold out",IF(K518&gt;=Inputs!$B$18,"Dead",IF(K518&gt;=Inputs!$B$17,"Ageing",IF(K518&gt;=Inputs!$B$16,"Watch","Fresh")))))</f>
        <v/>
      </c>
      <c r="M518" s="5" t="str">
        <f t="shared" ref="M518:M581" si="42">IF(L518="","",IF(L518="Dead","Clearance / exchange with vendor",IF(L518="Ageing","Markdown 20-30%",IF(L518="Watch","Push in reels &amp; WhatsApp broadcast",IF(L518="Fresh","OK","-")))))</f>
        <v/>
      </c>
      <c r="N518" s="12" t="str">
        <f t="shared" ref="N518:N581" si="43">IF(A518="","",F518*G518)</f>
        <v/>
      </c>
      <c r="O518" s="36" t="str">
        <f t="shared" ref="O518:O581" si="44">IF(B518="","",DATE(YEAR(B518),MONTH(B518),1))</f>
        <v/>
      </c>
    </row>
    <row r="519" spans="1:15" x14ac:dyDescent="0.25">
      <c r="A519" s="34"/>
      <c r="B519" s="33"/>
      <c r="C519" s="34"/>
      <c r="D519" s="34"/>
      <c r="E519" s="34"/>
      <c r="F519" s="34"/>
      <c r="G519" s="35"/>
      <c r="H519" s="34"/>
      <c r="I519" s="5" t="str">
        <f t="shared" si="40"/>
        <v/>
      </c>
      <c r="J519" s="12" t="str">
        <f t="shared" si="41"/>
        <v/>
      </c>
      <c r="K519" s="37" t="str">
        <f>IF(A519="","",Inputs!$B$11-B519)</f>
        <v/>
      </c>
      <c r="L519" s="5" t="str">
        <f>IF(A519="","",IF(I519&lt;=0,"Sold out",IF(K519&gt;=Inputs!$B$18,"Dead",IF(K519&gt;=Inputs!$B$17,"Ageing",IF(K519&gt;=Inputs!$B$16,"Watch","Fresh")))))</f>
        <v/>
      </c>
      <c r="M519" s="5" t="str">
        <f t="shared" si="42"/>
        <v/>
      </c>
      <c r="N519" s="12" t="str">
        <f t="shared" si="43"/>
        <v/>
      </c>
      <c r="O519" s="36" t="str">
        <f t="shared" si="44"/>
        <v/>
      </c>
    </row>
    <row r="520" spans="1:15" x14ac:dyDescent="0.25">
      <c r="A520" s="34"/>
      <c r="B520" s="33"/>
      <c r="C520" s="34"/>
      <c r="D520" s="34"/>
      <c r="E520" s="34"/>
      <c r="F520" s="34"/>
      <c r="G520" s="35"/>
      <c r="H520" s="34"/>
      <c r="I520" s="5" t="str">
        <f t="shared" si="40"/>
        <v/>
      </c>
      <c r="J520" s="12" t="str">
        <f t="shared" si="41"/>
        <v/>
      </c>
      <c r="K520" s="37" t="str">
        <f>IF(A520="","",Inputs!$B$11-B520)</f>
        <v/>
      </c>
      <c r="L520" s="5" t="str">
        <f>IF(A520="","",IF(I520&lt;=0,"Sold out",IF(K520&gt;=Inputs!$B$18,"Dead",IF(K520&gt;=Inputs!$B$17,"Ageing",IF(K520&gt;=Inputs!$B$16,"Watch","Fresh")))))</f>
        <v/>
      </c>
      <c r="M520" s="5" t="str">
        <f t="shared" si="42"/>
        <v/>
      </c>
      <c r="N520" s="12" t="str">
        <f t="shared" si="43"/>
        <v/>
      </c>
      <c r="O520" s="36" t="str">
        <f t="shared" si="44"/>
        <v/>
      </c>
    </row>
    <row r="521" spans="1:15" x14ac:dyDescent="0.25">
      <c r="A521" s="34"/>
      <c r="B521" s="33"/>
      <c r="C521" s="34"/>
      <c r="D521" s="34"/>
      <c r="E521" s="34"/>
      <c r="F521" s="34"/>
      <c r="G521" s="35"/>
      <c r="H521" s="34"/>
      <c r="I521" s="5" t="str">
        <f t="shared" si="40"/>
        <v/>
      </c>
      <c r="J521" s="12" t="str">
        <f t="shared" si="41"/>
        <v/>
      </c>
      <c r="K521" s="37" t="str">
        <f>IF(A521="","",Inputs!$B$11-B521)</f>
        <v/>
      </c>
      <c r="L521" s="5" t="str">
        <f>IF(A521="","",IF(I521&lt;=0,"Sold out",IF(K521&gt;=Inputs!$B$18,"Dead",IF(K521&gt;=Inputs!$B$17,"Ageing",IF(K521&gt;=Inputs!$B$16,"Watch","Fresh")))))</f>
        <v/>
      </c>
      <c r="M521" s="5" t="str">
        <f t="shared" si="42"/>
        <v/>
      </c>
      <c r="N521" s="12" t="str">
        <f t="shared" si="43"/>
        <v/>
      </c>
      <c r="O521" s="36" t="str">
        <f t="shared" si="44"/>
        <v/>
      </c>
    </row>
    <row r="522" spans="1:15" x14ac:dyDescent="0.25">
      <c r="A522" s="34"/>
      <c r="B522" s="33"/>
      <c r="C522" s="34"/>
      <c r="D522" s="34"/>
      <c r="E522" s="34"/>
      <c r="F522" s="34"/>
      <c r="G522" s="35"/>
      <c r="H522" s="34"/>
      <c r="I522" s="5" t="str">
        <f t="shared" si="40"/>
        <v/>
      </c>
      <c r="J522" s="12" t="str">
        <f t="shared" si="41"/>
        <v/>
      </c>
      <c r="K522" s="37" t="str">
        <f>IF(A522="","",Inputs!$B$11-B522)</f>
        <v/>
      </c>
      <c r="L522" s="5" t="str">
        <f>IF(A522="","",IF(I522&lt;=0,"Sold out",IF(K522&gt;=Inputs!$B$18,"Dead",IF(K522&gt;=Inputs!$B$17,"Ageing",IF(K522&gt;=Inputs!$B$16,"Watch","Fresh")))))</f>
        <v/>
      </c>
      <c r="M522" s="5" t="str">
        <f t="shared" si="42"/>
        <v/>
      </c>
      <c r="N522" s="12" t="str">
        <f t="shared" si="43"/>
        <v/>
      </c>
      <c r="O522" s="36" t="str">
        <f t="shared" si="44"/>
        <v/>
      </c>
    </row>
    <row r="523" spans="1:15" x14ac:dyDescent="0.25">
      <c r="A523" s="34"/>
      <c r="B523" s="33"/>
      <c r="C523" s="34"/>
      <c r="D523" s="34"/>
      <c r="E523" s="34"/>
      <c r="F523" s="34"/>
      <c r="G523" s="35"/>
      <c r="H523" s="34"/>
      <c r="I523" s="5" t="str">
        <f t="shared" si="40"/>
        <v/>
      </c>
      <c r="J523" s="12" t="str">
        <f t="shared" si="41"/>
        <v/>
      </c>
      <c r="K523" s="37" t="str">
        <f>IF(A523="","",Inputs!$B$11-B523)</f>
        <v/>
      </c>
      <c r="L523" s="5" t="str">
        <f>IF(A523="","",IF(I523&lt;=0,"Sold out",IF(K523&gt;=Inputs!$B$18,"Dead",IF(K523&gt;=Inputs!$B$17,"Ageing",IF(K523&gt;=Inputs!$B$16,"Watch","Fresh")))))</f>
        <v/>
      </c>
      <c r="M523" s="5" t="str">
        <f t="shared" si="42"/>
        <v/>
      </c>
      <c r="N523" s="12" t="str">
        <f t="shared" si="43"/>
        <v/>
      </c>
      <c r="O523" s="36" t="str">
        <f t="shared" si="44"/>
        <v/>
      </c>
    </row>
    <row r="524" spans="1:15" x14ac:dyDescent="0.25">
      <c r="A524" s="34"/>
      <c r="B524" s="33"/>
      <c r="C524" s="34"/>
      <c r="D524" s="34"/>
      <c r="E524" s="34"/>
      <c r="F524" s="34"/>
      <c r="G524" s="35"/>
      <c r="H524" s="34"/>
      <c r="I524" s="5" t="str">
        <f t="shared" si="40"/>
        <v/>
      </c>
      <c r="J524" s="12" t="str">
        <f t="shared" si="41"/>
        <v/>
      </c>
      <c r="K524" s="37" t="str">
        <f>IF(A524="","",Inputs!$B$11-B524)</f>
        <v/>
      </c>
      <c r="L524" s="5" t="str">
        <f>IF(A524="","",IF(I524&lt;=0,"Sold out",IF(K524&gt;=Inputs!$B$18,"Dead",IF(K524&gt;=Inputs!$B$17,"Ageing",IF(K524&gt;=Inputs!$B$16,"Watch","Fresh")))))</f>
        <v/>
      </c>
      <c r="M524" s="5" t="str">
        <f t="shared" si="42"/>
        <v/>
      </c>
      <c r="N524" s="12" t="str">
        <f t="shared" si="43"/>
        <v/>
      </c>
      <c r="O524" s="36" t="str">
        <f t="shared" si="44"/>
        <v/>
      </c>
    </row>
    <row r="525" spans="1:15" x14ac:dyDescent="0.25">
      <c r="A525" s="34"/>
      <c r="B525" s="33"/>
      <c r="C525" s="34"/>
      <c r="D525" s="34"/>
      <c r="E525" s="34"/>
      <c r="F525" s="34"/>
      <c r="G525" s="35"/>
      <c r="H525" s="34"/>
      <c r="I525" s="5" t="str">
        <f t="shared" si="40"/>
        <v/>
      </c>
      <c r="J525" s="12" t="str">
        <f t="shared" si="41"/>
        <v/>
      </c>
      <c r="K525" s="37" t="str">
        <f>IF(A525="","",Inputs!$B$11-B525)</f>
        <v/>
      </c>
      <c r="L525" s="5" t="str">
        <f>IF(A525="","",IF(I525&lt;=0,"Sold out",IF(K525&gt;=Inputs!$B$18,"Dead",IF(K525&gt;=Inputs!$B$17,"Ageing",IF(K525&gt;=Inputs!$B$16,"Watch","Fresh")))))</f>
        <v/>
      </c>
      <c r="M525" s="5" t="str">
        <f t="shared" si="42"/>
        <v/>
      </c>
      <c r="N525" s="12" t="str">
        <f t="shared" si="43"/>
        <v/>
      </c>
      <c r="O525" s="36" t="str">
        <f t="shared" si="44"/>
        <v/>
      </c>
    </row>
    <row r="526" spans="1:15" x14ac:dyDescent="0.25">
      <c r="A526" s="34"/>
      <c r="B526" s="33"/>
      <c r="C526" s="34"/>
      <c r="D526" s="34"/>
      <c r="E526" s="34"/>
      <c r="F526" s="34"/>
      <c r="G526" s="35"/>
      <c r="H526" s="34"/>
      <c r="I526" s="5" t="str">
        <f t="shared" si="40"/>
        <v/>
      </c>
      <c r="J526" s="12" t="str">
        <f t="shared" si="41"/>
        <v/>
      </c>
      <c r="K526" s="37" t="str">
        <f>IF(A526="","",Inputs!$B$11-B526)</f>
        <v/>
      </c>
      <c r="L526" s="5" t="str">
        <f>IF(A526="","",IF(I526&lt;=0,"Sold out",IF(K526&gt;=Inputs!$B$18,"Dead",IF(K526&gt;=Inputs!$B$17,"Ageing",IF(K526&gt;=Inputs!$B$16,"Watch","Fresh")))))</f>
        <v/>
      </c>
      <c r="M526" s="5" t="str">
        <f t="shared" si="42"/>
        <v/>
      </c>
      <c r="N526" s="12" t="str">
        <f t="shared" si="43"/>
        <v/>
      </c>
      <c r="O526" s="36" t="str">
        <f t="shared" si="44"/>
        <v/>
      </c>
    </row>
    <row r="527" spans="1:15" x14ac:dyDescent="0.25">
      <c r="A527" s="34"/>
      <c r="B527" s="33"/>
      <c r="C527" s="34"/>
      <c r="D527" s="34"/>
      <c r="E527" s="34"/>
      <c r="F527" s="34"/>
      <c r="G527" s="35"/>
      <c r="H527" s="34"/>
      <c r="I527" s="5" t="str">
        <f t="shared" si="40"/>
        <v/>
      </c>
      <c r="J527" s="12" t="str">
        <f t="shared" si="41"/>
        <v/>
      </c>
      <c r="K527" s="37" t="str">
        <f>IF(A527="","",Inputs!$B$11-B527)</f>
        <v/>
      </c>
      <c r="L527" s="5" t="str">
        <f>IF(A527="","",IF(I527&lt;=0,"Sold out",IF(K527&gt;=Inputs!$B$18,"Dead",IF(K527&gt;=Inputs!$B$17,"Ageing",IF(K527&gt;=Inputs!$B$16,"Watch","Fresh")))))</f>
        <v/>
      </c>
      <c r="M527" s="5" t="str">
        <f t="shared" si="42"/>
        <v/>
      </c>
      <c r="N527" s="12" t="str">
        <f t="shared" si="43"/>
        <v/>
      </c>
      <c r="O527" s="36" t="str">
        <f t="shared" si="44"/>
        <v/>
      </c>
    </row>
    <row r="528" spans="1:15" x14ac:dyDescent="0.25">
      <c r="A528" s="34"/>
      <c r="B528" s="33"/>
      <c r="C528" s="34"/>
      <c r="D528" s="34"/>
      <c r="E528" s="34"/>
      <c r="F528" s="34"/>
      <c r="G528" s="35"/>
      <c r="H528" s="34"/>
      <c r="I528" s="5" t="str">
        <f t="shared" si="40"/>
        <v/>
      </c>
      <c r="J528" s="12" t="str">
        <f t="shared" si="41"/>
        <v/>
      </c>
      <c r="K528" s="37" t="str">
        <f>IF(A528="","",Inputs!$B$11-B528)</f>
        <v/>
      </c>
      <c r="L528" s="5" t="str">
        <f>IF(A528="","",IF(I528&lt;=0,"Sold out",IF(K528&gt;=Inputs!$B$18,"Dead",IF(K528&gt;=Inputs!$B$17,"Ageing",IF(K528&gt;=Inputs!$B$16,"Watch","Fresh")))))</f>
        <v/>
      </c>
      <c r="M528" s="5" t="str">
        <f t="shared" si="42"/>
        <v/>
      </c>
      <c r="N528" s="12" t="str">
        <f t="shared" si="43"/>
        <v/>
      </c>
      <c r="O528" s="36" t="str">
        <f t="shared" si="44"/>
        <v/>
      </c>
    </row>
    <row r="529" spans="1:15" x14ac:dyDescent="0.25">
      <c r="A529" s="34"/>
      <c r="B529" s="33"/>
      <c r="C529" s="34"/>
      <c r="D529" s="34"/>
      <c r="E529" s="34"/>
      <c r="F529" s="34"/>
      <c r="G529" s="35"/>
      <c r="H529" s="34"/>
      <c r="I529" s="5" t="str">
        <f t="shared" si="40"/>
        <v/>
      </c>
      <c r="J529" s="12" t="str">
        <f t="shared" si="41"/>
        <v/>
      </c>
      <c r="K529" s="37" t="str">
        <f>IF(A529="","",Inputs!$B$11-B529)</f>
        <v/>
      </c>
      <c r="L529" s="5" t="str">
        <f>IF(A529="","",IF(I529&lt;=0,"Sold out",IF(K529&gt;=Inputs!$B$18,"Dead",IF(K529&gt;=Inputs!$B$17,"Ageing",IF(K529&gt;=Inputs!$B$16,"Watch","Fresh")))))</f>
        <v/>
      </c>
      <c r="M529" s="5" t="str">
        <f t="shared" si="42"/>
        <v/>
      </c>
      <c r="N529" s="12" t="str">
        <f t="shared" si="43"/>
        <v/>
      </c>
      <c r="O529" s="36" t="str">
        <f t="shared" si="44"/>
        <v/>
      </c>
    </row>
    <row r="530" spans="1:15" x14ac:dyDescent="0.25">
      <c r="A530" s="34"/>
      <c r="B530" s="33"/>
      <c r="C530" s="34"/>
      <c r="D530" s="34"/>
      <c r="E530" s="34"/>
      <c r="F530" s="34"/>
      <c r="G530" s="35"/>
      <c r="H530" s="34"/>
      <c r="I530" s="5" t="str">
        <f t="shared" si="40"/>
        <v/>
      </c>
      <c r="J530" s="12" t="str">
        <f t="shared" si="41"/>
        <v/>
      </c>
      <c r="K530" s="37" t="str">
        <f>IF(A530="","",Inputs!$B$11-B530)</f>
        <v/>
      </c>
      <c r="L530" s="5" t="str">
        <f>IF(A530="","",IF(I530&lt;=0,"Sold out",IF(K530&gt;=Inputs!$B$18,"Dead",IF(K530&gt;=Inputs!$B$17,"Ageing",IF(K530&gt;=Inputs!$B$16,"Watch","Fresh")))))</f>
        <v/>
      </c>
      <c r="M530" s="5" t="str">
        <f t="shared" si="42"/>
        <v/>
      </c>
      <c r="N530" s="12" t="str">
        <f t="shared" si="43"/>
        <v/>
      </c>
      <c r="O530" s="36" t="str">
        <f t="shared" si="44"/>
        <v/>
      </c>
    </row>
    <row r="531" spans="1:15" x14ac:dyDescent="0.25">
      <c r="A531" s="34"/>
      <c r="B531" s="33"/>
      <c r="C531" s="34"/>
      <c r="D531" s="34"/>
      <c r="E531" s="34"/>
      <c r="F531" s="34"/>
      <c r="G531" s="35"/>
      <c r="H531" s="34"/>
      <c r="I531" s="5" t="str">
        <f t="shared" si="40"/>
        <v/>
      </c>
      <c r="J531" s="12" t="str">
        <f t="shared" si="41"/>
        <v/>
      </c>
      <c r="K531" s="37" t="str">
        <f>IF(A531="","",Inputs!$B$11-B531)</f>
        <v/>
      </c>
      <c r="L531" s="5" t="str">
        <f>IF(A531="","",IF(I531&lt;=0,"Sold out",IF(K531&gt;=Inputs!$B$18,"Dead",IF(K531&gt;=Inputs!$B$17,"Ageing",IF(K531&gt;=Inputs!$B$16,"Watch","Fresh")))))</f>
        <v/>
      </c>
      <c r="M531" s="5" t="str">
        <f t="shared" si="42"/>
        <v/>
      </c>
      <c r="N531" s="12" t="str">
        <f t="shared" si="43"/>
        <v/>
      </c>
      <c r="O531" s="36" t="str">
        <f t="shared" si="44"/>
        <v/>
      </c>
    </row>
    <row r="532" spans="1:15" x14ac:dyDescent="0.25">
      <c r="A532" s="34"/>
      <c r="B532" s="33"/>
      <c r="C532" s="34"/>
      <c r="D532" s="34"/>
      <c r="E532" s="34"/>
      <c r="F532" s="34"/>
      <c r="G532" s="35"/>
      <c r="H532" s="34"/>
      <c r="I532" s="5" t="str">
        <f t="shared" si="40"/>
        <v/>
      </c>
      <c r="J532" s="12" t="str">
        <f t="shared" si="41"/>
        <v/>
      </c>
      <c r="K532" s="37" t="str">
        <f>IF(A532="","",Inputs!$B$11-B532)</f>
        <v/>
      </c>
      <c r="L532" s="5" t="str">
        <f>IF(A532="","",IF(I532&lt;=0,"Sold out",IF(K532&gt;=Inputs!$B$18,"Dead",IF(K532&gt;=Inputs!$B$17,"Ageing",IF(K532&gt;=Inputs!$B$16,"Watch","Fresh")))))</f>
        <v/>
      </c>
      <c r="M532" s="5" t="str">
        <f t="shared" si="42"/>
        <v/>
      </c>
      <c r="N532" s="12" t="str">
        <f t="shared" si="43"/>
        <v/>
      </c>
      <c r="O532" s="36" t="str">
        <f t="shared" si="44"/>
        <v/>
      </c>
    </row>
    <row r="533" spans="1:15" x14ac:dyDescent="0.25">
      <c r="A533" s="34"/>
      <c r="B533" s="33"/>
      <c r="C533" s="34"/>
      <c r="D533" s="34"/>
      <c r="E533" s="34"/>
      <c r="F533" s="34"/>
      <c r="G533" s="35"/>
      <c r="H533" s="34"/>
      <c r="I533" s="5" t="str">
        <f t="shared" si="40"/>
        <v/>
      </c>
      <c r="J533" s="12" t="str">
        <f t="shared" si="41"/>
        <v/>
      </c>
      <c r="K533" s="37" t="str">
        <f>IF(A533="","",Inputs!$B$11-B533)</f>
        <v/>
      </c>
      <c r="L533" s="5" t="str">
        <f>IF(A533="","",IF(I533&lt;=0,"Sold out",IF(K533&gt;=Inputs!$B$18,"Dead",IF(K533&gt;=Inputs!$B$17,"Ageing",IF(K533&gt;=Inputs!$B$16,"Watch","Fresh")))))</f>
        <v/>
      </c>
      <c r="M533" s="5" t="str">
        <f t="shared" si="42"/>
        <v/>
      </c>
      <c r="N533" s="12" t="str">
        <f t="shared" si="43"/>
        <v/>
      </c>
      <c r="O533" s="36" t="str">
        <f t="shared" si="44"/>
        <v/>
      </c>
    </row>
    <row r="534" spans="1:15" x14ac:dyDescent="0.25">
      <c r="A534" s="34"/>
      <c r="B534" s="33"/>
      <c r="C534" s="34"/>
      <c r="D534" s="34"/>
      <c r="E534" s="34"/>
      <c r="F534" s="34"/>
      <c r="G534" s="35"/>
      <c r="H534" s="34"/>
      <c r="I534" s="5" t="str">
        <f t="shared" si="40"/>
        <v/>
      </c>
      <c r="J534" s="12" t="str">
        <f t="shared" si="41"/>
        <v/>
      </c>
      <c r="K534" s="37" t="str">
        <f>IF(A534="","",Inputs!$B$11-B534)</f>
        <v/>
      </c>
      <c r="L534" s="5" t="str">
        <f>IF(A534="","",IF(I534&lt;=0,"Sold out",IF(K534&gt;=Inputs!$B$18,"Dead",IF(K534&gt;=Inputs!$B$17,"Ageing",IF(K534&gt;=Inputs!$B$16,"Watch","Fresh")))))</f>
        <v/>
      </c>
      <c r="M534" s="5" t="str">
        <f t="shared" si="42"/>
        <v/>
      </c>
      <c r="N534" s="12" t="str">
        <f t="shared" si="43"/>
        <v/>
      </c>
      <c r="O534" s="36" t="str">
        <f t="shared" si="44"/>
        <v/>
      </c>
    </row>
    <row r="535" spans="1:15" x14ac:dyDescent="0.25">
      <c r="A535" s="34"/>
      <c r="B535" s="33"/>
      <c r="C535" s="34"/>
      <c r="D535" s="34"/>
      <c r="E535" s="34"/>
      <c r="F535" s="34"/>
      <c r="G535" s="35"/>
      <c r="H535" s="34"/>
      <c r="I535" s="5" t="str">
        <f t="shared" si="40"/>
        <v/>
      </c>
      <c r="J535" s="12" t="str">
        <f t="shared" si="41"/>
        <v/>
      </c>
      <c r="K535" s="37" t="str">
        <f>IF(A535="","",Inputs!$B$11-B535)</f>
        <v/>
      </c>
      <c r="L535" s="5" t="str">
        <f>IF(A535="","",IF(I535&lt;=0,"Sold out",IF(K535&gt;=Inputs!$B$18,"Dead",IF(K535&gt;=Inputs!$B$17,"Ageing",IF(K535&gt;=Inputs!$B$16,"Watch","Fresh")))))</f>
        <v/>
      </c>
      <c r="M535" s="5" t="str">
        <f t="shared" si="42"/>
        <v/>
      </c>
      <c r="N535" s="12" t="str">
        <f t="shared" si="43"/>
        <v/>
      </c>
      <c r="O535" s="36" t="str">
        <f t="shared" si="44"/>
        <v/>
      </c>
    </row>
    <row r="536" spans="1:15" x14ac:dyDescent="0.25">
      <c r="A536" s="34"/>
      <c r="B536" s="33"/>
      <c r="C536" s="34"/>
      <c r="D536" s="34"/>
      <c r="E536" s="34"/>
      <c r="F536" s="34"/>
      <c r="G536" s="35"/>
      <c r="H536" s="34"/>
      <c r="I536" s="5" t="str">
        <f t="shared" si="40"/>
        <v/>
      </c>
      <c r="J536" s="12" t="str">
        <f t="shared" si="41"/>
        <v/>
      </c>
      <c r="K536" s="37" t="str">
        <f>IF(A536="","",Inputs!$B$11-B536)</f>
        <v/>
      </c>
      <c r="L536" s="5" t="str">
        <f>IF(A536="","",IF(I536&lt;=0,"Sold out",IF(K536&gt;=Inputs!$B$18,"Dead",IF(K536&gt;=Inputs!$B$17,"Ageing",IF(K536&gt;=Inputs!$B$16,"Watch","Fresh")))))</f>
        <v/>
      </c>
      <c r="M536" s="5" t="str">
        <f t="shared" si="42"/>
        <v/>
      </c>
      <c r="N536" s="12" t="str">
        <f t="shared" si="43"/>
        <v/>
      </c>
      <c r="O536" s="36" t="str">
        <f t="shared" si="44"/>
        <v/>
      </c>
    </row>
    <row r="537" spans="1:15" x14ac:dyDescent="0.25">
      <c r="A537" s="34"/>
      <c r="B537" s="33"/>
      <c r="C537" s="34"/>
      <c r="D537" s="34"/>
      <c r="E537" s="34"/>
      <c r="F537" s="34"/>
      <c r="G537" s="35"/>
      <c r="H537" s="34"/>
      <c r="I537" s="5" t="str">
        <f t="shared" si="40"/>
        <v/>
      </c>
      <c r="J537" s="12" t="str">
        <f t="shared" si="41"/>
        <v/>
      </c>
      <c r="K537" s="37" t="str">
        <f>IF(A537="","",Inputs!$B$11-B537)</f>
        <v/>
      </c>
      <c r="L537" s="5" t="str">
        <f>IF(A537="","",IF(I537&lt;=0,"Sold out",IF(K537&gt;=Inputs!$B$18,"Dead",IF(K537&gt;=Inputs!$B$17,"Ageing",IF(K537&gt;=Inputs!$B$16,"Watch","Fresh")))))</f>
        <v/>
      </c>
      <c r="M537" s="5" t="str">
        <f t="shared" si="42"/>
        <v/>
      </c>
      <c r="N537" s="12" t="str">
        <f t="shared" si="43"/>
        <v/>
      </c>
      <c r="O537" s="36" t="str">
        <f t="shared" si="44"/>
        <v/>
      </c>
    </row>
    <row r="538" spans="1:15" x14ac:dyDescent="0.25">
      <c r="A538" s="34"/>
      <c r="B538" s="33"/>
      <c r="C538" s="34"/>
      <c r="D538" s="34"/>
      <c r="E538" s="34"/>
      <c r="F538" s="34"/>
      <c r="G538" s="35"/>
      <c r="H538" s="34"/>
      <c r="I538" s="5" t="str">
        <f t="shared" si="40"/>
        <v/>
      </c>
      <c r="J538" s="12" t="str">
        <f t="shared" si="41"/>
        <v/>
      </c>
      <c r="K538" s="37" t="str">
        <f>IF(A538="","",Inputs!$B$11-B538)</f>
        <v/>
      </c>
      <c r="L538" s="5" t="str">
        <f>IF(A538="","",IF(I538&lt;=0,"Sold out",IF(K538&gt;=Inputs!$B$18,"Dead",IF(K538&gt;=Inputs!$B$17,"Ageing",IF(K538&gt;=Inputs!$B$16,"Watch","Fresh")))))</f>
        <v/>
      </c>
      <c r="M538" s="5" t="str">
        <f t="shared" si="42"/>
        <v/>
      </c>
      <c r="N538" s="12" t="str">
        <f t="shared" si="43"/>
        <v/>
      </c>
      <c r="O538" s="36" t="str">
        <f t="shared" si="44"/>
        <v/>
      </c>
    </row>
    <row r="539" spans="1:15" x14ac:dyDescent="0.25">
      <c r="A539" s="34"/>
      <c r="B539" s="33"/>
      <c r="C539" s="34"/>
      <c r="D539" s="34"/>
      <c r="E539" s="34"/>
      <c r="F539" s="34"/>
      <c r="G539" s="35"/>
      <c r="H539" s="34"/>
      <c r="I539" s="5" t="str">
        <f t="shared" si="40"/>
        <v/>
      </c>
      <c r="J539" s="12" t="str">
        <f t="shared" si="41"/>
        <v/>
      </c>
      <c r="K539" s="37" t="str">
        <f>IF(A539="","",Inputs!$B$11-B539)</f>
        <v/>
      </c>
      <c r="L539" s="5" t="str">
        <f>IF(A539="","",IF(I539&lt;=0,"Sold out",IF(K539&gt;=Inputs!$B$18,"Dead",IF(K539&gt;=Inputs!$B$17,"Ageing",IF(K539&gt;=Inputs!$B$16,"Watch","Fresh")))))</f>
        <v/>
      </c>
      <c r="M539" s="5" t="str">
        <f t="shared" si="42"/>
        <v/>
      </c>
      <c r="N539" s="12" t="str">
        <f t="shared" si="43"/>
        <v/>
      </c>
      <c r="O539" s="36" t="str">
        <f t="shared" si="44"/>
        <v/>
      </c>
    </row>
    <row r="540" spans="1:15" x14ac:dyDescent="0.25">
      <c r="A540" s="34"/>
      <c r="B540" s="33"/>
      <c r="C540" s="34"/>
      <c r="D540" s="34"/>
      <c r="E540" s="34"/>
      <c r="F540" s="34"/>
      <c r="G540" s="35"/>
      <c r="H540" s="34"/>
      <c r="I540" s="5" t="str">
        <f t="shared" si="40"/>
        <v/>
      </c>
      <c r="J540" s="12" t="str">
        <f t="shared" si="41"/>
        <v/>
      </c>
      <c r="K540" s="37" t="str">
        <f>IF(A540="","",Inputs!$B$11-B540)</f>
        <v/>
      </c>
      <c r="L540" s="5" t="str">
        <f>IF(A540="","",IF(I540&lt;=0,"Sold out",IF(K540&gt;=Inputs!$B$18,"Dead",IF(K540&gt;=Inputs!$B$17,"Ageing",IF(K540&gt;=Inputs!$B$16,"Watch","Fresh")))))</f>
        <v/>
      </c>
      <c r="M540" s="5" t="str">
        <f t="shared" si="42"/>
        <v/>
      </c>
      <c r="N540" s="12" t="str">
        <f t="shared" si="43"/>
        <v/>
      </c>
      <c r="O540" s="36" t="str">
        <f t="shared" si="44"/>
        <v/>
      </c>
    </row>
    <row r="541" spans="1:15" x14ac:dyDescent="0.25">
      <c r="A541" s="34"/>
      <c r="B541" s="33"/>
      <c r="C541" s="34"/>
      <c r="D541" s="34"/>
      <c r="E541" s="34"/>
      <c r="F541" s="34"/>
      <c r="G541" s="35"/>
      <c r="H541" s="34"/>
      <c r="I541" s="5" t="str">
        <f t="shared" si="40"/>
        <v/>
      </c>
      <c r="J541" s="12" t="str">
        <f t="shared" si="41"/>
        <v/>
      </c>
      <c r="K541" s="37" t="str">
        <f>IF(A541="","",Inputs!$B$11-B541)</f>
        <v/>
      </c>
      <c r="L541" s="5" t="str">
        <f>IF(A541="","",IF(I541&lt;=0,"Sold out",IF(K541&gt;=Inputs!$B$18,"Dead",IF(K541&gt;=Inputs!$B$17,"Ageing",IF(K541&gt;=Inputs!$B$16,"Watch","Fresh")))))</f>
        <v/>
      </c>
      <c r="M541" s="5" t="str">
        <f t="shared" si="42"/>
        <v/>
      </c>
      <c r="N541" s="12" t="str">
        <f t="shared" si="43"/>
        <v/>
      </c>
      <c r="O541" s="36" t="str">
        <f t="shared" si="44"/>
        <v/>
      </c>
    </row>
    <row r="542" spans="1:15" x14ac:dyDescent="0.25">
      <c r="A542" s="34"/>
      <c r="B542" s="33"/>
      <c r="C542" s="34"/>
      <c r="D542" s="34"/>
      <c r="E542" s="34"/>
      <c r="F542" s="34"/>
      <c r="G542" s="35"/>
      <c r="H542" s="34"/>
      <c r="I542" s="5" t="str">
        <f t="shared" si="40"/>
        <v/>
      </c>
      <c r="J542" s="12" t="str">
        <f t="shared" si="41"/>
        <v/>
      </c>
      <c r="K542" s="37" t="str">
        <f>IF(A542="","",Inputs!$B$11-B542)</f>
        <v/>
      </c>
      <c r="L542" s="5" t="str">
        <f>IF(A542="","",IF(I542&lt;=0,"Sold out",IF(K542&gt;=Inputs!$B$18,"Dead",IF(K542&gt;=Inputs!$B$17,"Ageing",IF(K542&gt;=Inputs!$B$16,"Watch","Fresh")))))</f>
        <v/>
      </c>
      <c r="M542" s="5" t="str">
        <f t="shared" si="42"/>
        <v/>
      </c>
      <c r="N542" s="12" t="str">
        <f t="shared" si="43"/>
        <v/>
      </c>
      <c r="O542" s="36" t="str">
        <f t="shared" si="44"/>
        <v/>
      </c>
    </row>
    <row r="543" spans="1:15" x14ac:dyDescent="0.25">
      <c r="A543" s="34"/>
      <c r="B543" s="33"/>
      <c r="C543" s="34"/>
      <c r="D543" s="34"/>
      <c r="E543" s="34"/>
      <c r="F543" s="34"/>
      <c r="G543" s="35"/>
      <c r="H543" s="34"/>
      <c r="I543" s="5" t="str">
        <f t="shared" si="40"/>
        <v/>
      </c>
      <c r="J543" s="12" t="str">
        <f t="shared" si="41"/>
        <v/>
      </c>
      <c r="K543" s="37" t="str">
        <f>IF(A543="","",Inputs!$B$11-B543)</f>
        <v/>
      </c>
      <c r="L543" s="5" t="str">
        <f>IF(A543="","",IF(I543&lt;=0,"Sold out",IF(K543&gt;=Inputs!$B$18,"Dead",IF(K543&gt;=Inputs!$B$17,"Ageing",IF(K543&gt;=Inputs!$B$16,"Watch","Fresh")))))</f>
        <v/>
      </c>
      <c r="M543" s="5" t="str">
        <f t="shared" si="42"/>
        <v/>
      </c>
      <c r="N543" s="12" t="str">
        <f t="shared" si="43"/>
        <v/>
      </c>
      <c r="O543" s="36" t="str">
        <f t="shared" si="44"/>
        <v/>
      </c>
    </row>
    <row r="544" spans="1:15" x14ac:dyDescent="0.25">
      <c r="A544" s="34"/>
      <c r="B544" s="33"/>
      <c r="C544" s="34"/>
      <c r="D544" s="34"/>
      <c r="E544" s="34"/>
      <c r="F544" s="34"/>
      <c r="G544" s="35"/>
      <c r="H544" s="34"/>
      <c r="I544" s="5" t="str">
        <f t="shared" si="40"/>
        <v/>
      </c>
      <c r="J544" s="12" t="str">
        <f t="shared" si="41"/>
        <v/>
      </c>
      <c r="K544" s="37" t="str">
        <f>IF(A544="","",Inputs!$B$11-B544)</f>
        <v/>
      </c>
      <c r="L544" s="5" t="str">
        <f>IF(A544="","",IF(I544&lt;=0,"Sold out",IF(K544&gt;=Inputs!$B$18,"Dead",IF(K544&gt;=Inputs!$B$17,"Ageing",IF(K544&gt;=Inputs!$B$16,"Watch","Fresh")))))</f>
        <v/>
      </c>
      <c r="M544" s="5" t="str">
        <f t="shared" si="42"/>
        <v/>
      </c>
      <c r="N544" s="12" t="str">
        <f t="shared" si="43"/>
        <v/>
      </c>
      <c r="O544" s="36" t="str">
        <f t="shared" si="44"/>
        <v/>
      </c>
    </row>
    <row r="545" spans="1:15" x14ac:dyDescent="0.25">
      <c r="A545" s="34"/>
      <c r="B545" s="33"/>
      <c r="C545" s="34"/>
      <c r="D545" s="34"/>
      <c r="E545" s="34"/>
      <c r="F545" s="34"/>
      <c r="G545" s="35"/>
      <c r="H545" s="34"/>
      <c r="I545" s="5" t="str">
        <f t="shared" si="40"/>
        <v/>
      </c>
      <c r="J545" s="12" t="str">
        <f t="shared" si="41"/>
        <v/>
      </c>
      <c r="K545" s="37" t="str">
        <f>IF(A545="","",Inputs!$B$11-B545)</f>
        <v/>
      </c>
      <c r="L545" s="5" t="str">
        <f>IF(A545="","",IF(I545&lt;=0,"Sold out",IF(K545&gt;=Inputs!$B$18,"Dead",IF(K545&gt;=Inputs!$B$17,"Ageing",IF(K545&gt;=Inputs!$B$16,"Watch","Fresh")))))</f>
        <v/>
      </c>
      <c r="M545" s="5" t="str">
        <f t="shared" si="42"/>
        <v/>
      </c>
      <c r="N545" s="12" t="str">
        <f t="shared" si="43"/>
        <v/>
      </c>
      <c r="O545" s="36" t="str">
        <f t="shared" si="44"/>
        <v/>
      </c>
    </row>
    <row r="546" spans="1:15" x14ac:dyDescent="0.25">
      <c r="A546" s="34"/>
      <c r="B546" s="33"/>
      <c r="C546" s="34"/>
      <c r="D546" s="34"/>
      <c r="E546" s="34"/>
      <c r="F546" s="34"/>
      <c r="G546" s="35"/>
      <c r="H546" s="34"/>
      <c r="I546" s="5" t="str">
        <f t="shared" si="40"/>
        <v/>
      </c>
      <c r="J546" s="12" t="str">
        <f t="shared" si="41"/>
        <v/>
      </c>
      <c r="K546" s="37" t="str">
        <f>IF(A546="","",Inputs!$B$11-B546)</f>
        <v/>
      </c>
      <c r="L546" s="5" t="str">
        <f>IF(A546="","",IF(I546&lt;=0,"Sold out",IF(K546&gt;=Inputs!$B$18,"Dead",IF(K546&gt;=Inputs!$B$17,"Ageing",IF(K546&gt;=Inputs!$B$16,"Watch","Fresh")))))</f>
        <v/>
      </c>
      <c r="M546" s="5" t="str">
        <f t="shared" si="42"/>
        <v/>
      </c>
      <c r="N546" s="12" t="str">
        <f t="shared" si="43"/>
        <v/>
      </c>
      <c r="O546" s="36" t="str">
        <f t="shared" si="44"/>
        <v/>
      </c>
    </row>
    <row r="547" spans="1:15" x14ac:dyDescent="0.25">
      <c r="A547" s="34"/>
      <c r="B547" s="33"/>
      <c r="C547" s="34"/>
      <c r="D547" s="34"/>
      <c r="E547" s="34"/>
      <c r="F547" s="34"/>
      <c r="G547" s="35"/>
      <c r="H547" s="34"/>
      <c r="I547" s="5" t="str">
        <f t="shared" si="40"/>
        <v/>
      </c>
      <c r="J547" s="12" t="str">
        <f t="shared" si="41"/>
        <v/>
      </c>
      <c r="K547" s="37" t="str">
        <f>IF(A547="","",Inputs!$B$11-B547)</f>
        <v/>
      </c>
      <c r="L547" s="5" t="str">
        <f>IF(A547="","",IF(I547&lt;=0,"Sold out",IF(K547&gt;=Inputs!$B$18,"Dead",IF(K547&gt;=Inputs!$B$17,"Ageing",IF(K547&gt;=Inputs!$B$16,"Watch","Fresh")))))</f>
        <v/>
      </c>
      <c r="M547" s="5" t="str">
        <f t="shared" si="42"/>
        <v/>
      </c>
      <c r="N547" s="12" t="str">
        <f t="shared" si="43"/>
        <v/>
      </c>
      <c r="O547" s="36" t="str">
        <f t="shared" si="44"/>
        <v/>
      </c>
    </row>
    <row r="548" spans="1:15" x14ac:dyDescent="0.25">
      <c r="A548" s="34"/>
      <c r="B548" s="33"/>
      <c r="C548" s="34"/>
      <c r="D548" s="34"/>
      <c r="E548" s="34"/>
      <c r="F548" s="34"/>
      <c r="G548" s="35"/>
      <c r="H548" s="34"/>
      <c r="I548" s="5" t="str">
        <f t="shared" si="40"/>
        <v/>
      </c>
      <c r="J548" s="12" t="str">
        <f t="shared" si="41"/>
        <v/>
      </c>
      <c r="K548" s="37" t="str">
        <f>IF(A548="","",Inputs!$B$11-B548)</f>
        <v/>
      </c>
      <c r="L548" s="5" t="str">
        <f>IF(A548="","",IF(I548&lt;=0,"Sold out",IF(K548&gt;=Inputs!$B$18,"Dead",IF(K548&gt;=Inputs!$B$17,"Ageing",IF(K548&gt;=Inputs!$B$16,"Watch","Fresh")))))</f>
        <v/>
      </c>
      <c r="M548" s="5" t="str">
        <f t="shared" si="42"/>
        <v/>
      </c>
      <c r="N548" s="12" t="str">
        <f t="shared" si="43"/>
        <v/>
      </c>
      <c r="O548" s="36" t="str">
        <f t="shared" si="44"/>
        <v/>
      </c>
    </row>
    <row r="549" spans="1:15" x14ac:dyDescent="0.25">
      <c r="A549" s="34"/>
      <c r="B549" s="33"/>
      <c r="C549" s="34"/>
      <c r="D549" s="34"/>
      <c r="E549" s="34"/>
      <c r="F549" s="34"/>
      <c r="G549" s="35"/>
      <c r="H549" s="34"/>
      <c r="I549" s="5" t="str">
        <f t="shared" si="40"/>
        <v/>
      </c>
      <c r="J549" s="12" t="str">
        <f t="shared" si="41"/>
        <v/>
      </c>
      <c r="K549" s="37" t="str">
        <f>IF(A549="","",Inputs!$B$11-B549)</f>
        <v/>
      </c>
      <c r="L549" s="5" t="str">
        <f>IF(A549="","",IF(I549&lt;=0,"Sold out",IF(K549&gt;=Inputs!$B$18,"Dead",IF(K549&gt;=Inputs!$B$17,"Ageing",IF(K549&gt;=Inputs!$B$16,"Watch","Fresh")))))</f>
        <v/>
      </c>
      <c r="M549" s="5" t="str">
        <f t="shared" si="42"/>
        <v/>
      </c>
      <c r="N549" s="12" t="str">
        <f t="shared" si="43"/>
        <v/>
      </c>
      <c r="O549" s="36" t="str">
        <f t="shared" si="44"/>
        <v/>
      </c>
    </row>
    <row r="550" spans="1:15" x14ac:dyDescent="0.25">
      <c r="A550" s="34"/>
      <c r="B550" s="33"/>
      <c r="C550" s="34"/>
      <c r="D550" s="34"/>
      <c r="E550" s="34"/>
      <c r="F550" s="34"/>
      <c r="G550" s="35"/>
      <c r="H550" s="34"/>
      <c r="I550" s="5" t="str">
        <f t="shared" si="40"/>
        <v/>
      </c>
      <c r="J550" s="12" t="str">
        <f t="shared" si="41"/>
        <v/>
      </c>
      <c r="K550" s="37" t="str">
        <f>IF(A550="","",Inputs!$B$11-B550)</f>
        <v/>
      </c>
      <c r="L550" s="5" t="str">
        <f>IF(A550="","",IF(I550&lt;=0,"Sold out",IF(K550&gt;=Inputs!$B$18,"Dead",IF(K550&gt;=Inputs!$B$17,"Ageing",IF(K550&gt;=Inputs!$B$16,"Watch","Fresh")))))</f>
        <v/>
      </c>
      <c r="M550" s="5" t="str">
        <f t="shared" si="42"/>
        <v/>
      </c>
      <c r="N550" s="12" t="str">
        <f t="shared" si="43"/>
        <v/>
      </c>
      <c r="O550" s="36" t="str">
        <f t="shared" si="44"/>
        <v/>
      </c>
    </row>
    <row r="551" spans="1:15" x14ac:dyDescent="0.25">
      <c r="A551" s="34"/>
      <c r="B551" s="33"/>
      <c r="C551" s="34"/>
      <c r="D551" s="34"/>
      <c r="E551" s="34"/>
      <c r="F551" s="34"/>
      <c r="G551" s="35"/>
      <c r="H551" s="34"/>
      <c r="I551" s="5" t="str">
        <f t="shared" si="40"/>
        <v/>
      </c>
      <c r="J551" s="12" t="str">
        <f t="shared" si="41"/>
        <v/>
      </c>
      <c r="K551" s="37" t="str">
        <f>IF(A551="","",Inputs!$B$11-B551)</f>
        <v/>
      </c>
      <c r="L551" s="5" t="str">
        <f>IF(A551="","",IF(I551&lt;=0,"Sold out",IF(K551&gt;=Inputs!$B$18,"Dead",IF(K551&gt;=Inputs!$B$17,"Ageing",IF(K551&gt;=Inputs!$B$16,"Watch","Fresh")))))</f>
        <v/>
      </c>
      <c r="M551" s="5" t="str">
        <f t="shared" si="42"/>
        <v/>
      </c>
      <c r="N551" s="12" t="str">
        <f t="shared" si="43"/>
        <v/>
      </c>
      <c r="O551" s="36" t="str">
        <f t="shared" si="44"/>
        <v/>
      </c>
    </row>
    <row r="552" spans="1:15" x14ac:dyDescent="0.25">
      <c r="A552" s="34"/>
      <c r="B552" s="33"/>
      <c r="C552" s="34"/>
      <c r="D552" s="34"/>
      <c r="E552" s="34"/>
      <c r="F552" s="34"/>
      <c r="G552" s="35"/>
      <c r="H552" s="34"/>
      <c r="I552" s="5" t="str">
        <f t="shared" si="40"/>
        <v/>
      </c>
      <c r="J552" s="12" t="str">
        <f t="shared" si="41"/>
        <v/>
      </c>
      <c r="K552" s="37" t="str">
        <f>IF(A552="","",Inputs!$B$11-B552)</f>
        <v/>
      </c>
      <c r="L552" s="5" t="str">
        <f>IF(A552="","",IF(I552&lt;=0,"Sold out",IF(K552&gt;=Inputs!$B$18,"Dead",IF(K552&gt;=Inputs!$B$17,"Ageing",IF(K552&gt;=Inputs!$B$16,"Watch","Fresh")))))</f>
        <v/>
      </c>
      <c r="M552" s="5" t="str">
        <f t="shared" si="42"/>
        <v/>
      </c>
      <c r="N552" s="12" t="str">
        <f t="shared" si="43"/>
        <v/>
      </c>
      <c r="O552" s="36" t="str">
        <f t="shared" si="44"/>
        <v/>
      </c>
    </row>
    <row r="553" spans="1:15" x14ac:dyDescent="0.25">
      <c r="A553" s="34"/>
      <c r="B553" s="33"/>
      <c r="C553" s="34"/>
      <c r="D553" s="34"/>
      <c r="E553" s="34"/>
      <c r="F553" s="34"/>
      <c r="G553" s="35"/>
      <c r="H553" s="34"/>
      <c r="I553" s="5" t="str">
        <f t="shared" si="40"/>
        <v/>
      </c>
      <c r="J553" s="12" t="str">
        <f t="shared" si="41"/>
        <v/>
      </c>
      <c r="K553" s="37" t="str">
        <f>IF(A553="","",Inputs!$B$11-B553)</f>
        <v/>
      </c>
      <c r="L553" s="5" t="str">
        <f>IF(A553="","",IF(I553&lt;=0,"Sold out",IF(K553&gt;=Inputs!$B$18,"Dead",IF(K553&gt;=Inputs!$B$17,"Ageing",IF(K553&gt;=Inputs!$B$16,"Watch","Fresh")))))</f>
        <v/>
      </c>
      <c r="M553" s="5" t="str">
        <f t="shared" si="42"/>
        <v/>
      </c>
      <c r="N553" s="12" t="str">
        <f t="shared" si="43"/>
        <v/>
      </c>
      <c r="O553" s="36" t="str">
        <f t="shared" si="44"/>
        <v/>
      </c>
    </row>
    <row r="554" spans="1:15" x14ac:dyDescent="0.25">
      <c r="A554" s="34"/>
      <c r="B554" s="33"/>
      <c r="C554" s="34"/>
      <c r="D554" s="34"/>
      <c r="E554" s="34"/>
      <c r="F554" s="34"/>
      <c r="G554" s="35"/>
      <c r="H554" s="34"/>
      <c r="I554" s="5" t="str">
        <f t="shared" si="40"/>
        <v/>
      </c>
      <c r="J554" s="12" t="str">
        <f t="shared" si="41"/>
        <v/>
      </c>
      <c r="K554" s="37" t="str">
        <f>IF(A554="","",Inputs!$B$11-B554)</f>
        <v/>
      </c>
      <c r="L554" s="5" t="str">
        <f>IF(A554="","",IF(I554&lt;=0,"Sold out",IF(K554&gt;=Inputs!$B$18,"Dead",IF(K554&gt;=Inputs!$B$17,"Ageing",IF(K554&gt;=Inputs!$B$16,"Watch","Fresh")))))</f>
        <v/>
      </c>
      <c r="M554" s="5" t="str">
        <f t="shared" si="42"/>
        <v/>
      </c>
      <c r="N554" s="12" t="str">
        <f t="shared" si="43"/>
        <v/>
      </c>
      <c r="O554" s="36" t="str">
        <f t="shared" si="44"/>
        <v/>
      </c>
    </row>
    <row r="555" spans="1:15" x14ac:dyDescent="0.25">
      <c r="A555" s="34"/>
      <c r="B555" s="33"/>
      <c r="C555" s="34"/>
      <c r="D555" s="34"/>
      <c r="E555" s="34"/>
      <c r="F555" s="34"/>
      <c r="G555" s="35"/>
      <c r="H555" s="34"/>
      <c r="I555" s="5" t="str">
        <f t="shared" si="40"/>
        <v/>
      </c>
      <c r="J555" s="12" t="str">
        <f t="shared" si="41"/>
        <v/>
      </c>
      <c r="K555" s="37" t="str">
        <f>IF(A555="","",Inputs!$B$11-B555)</f>
        <v/>
      </c>
      <c r="L555" s="5" t="str">
        <f>IF(A555="","",IF(I555&lt;=0,"Sold out",IF(K555&gt;=Inputs!$B$18,"Dead",IF(K555&gt;=Inputs!$B$17,"Ageing",IF(K555&gt;=Inputs!$B$16,"Watch","Fresh")))))</f>
        <v/>
      </c>
      <c r="M555" s="5" t="str">
        <f t="shared" si="42"/>
        <v/>
      </c>
      <c r="N555" s="12" t="str">
        <f t="shared" si="43"/>
        <v/>
      </c>
      <c r="O555" s="36" t="str">
        <f t="shared" si="44"/>
        <v/>
      </c>
    </row>
    <row r="556" spans="1:15" x14ac:dyDescent="0.25">
      <c r="A556" s="34"/>
      <c r="B556" s="33"/>
      <c r="C556" s="34"/>
      <c r="D556" s="34"/>
      <c r="E556" s="34"/>
      <c r="F556" s="34"/>
      <c r="G556" s="35"/>
      <c r="H556" s="34"/>
      <c r="I556" s="5" t="str">
        <f t="shared" si="40"/>
        <v/>
      </c>
      <c r="J556" s="12" t="str">
        <f t="shared" si="41"/>
        <v/>
      </c>
      <c r="K556" s="37" t="str">
        <f>IF(A556="","",Inputs!$B$11-B556)</f>
        <v/>
      </c>
      <c r="L556" s="5" t="str">
        <f>IF(A556="","",IF(I556&lt;=0,"Sold out",IF(K556&gt;=Inputs!$B$18,"Dead",IF(K556&gt;=Inputs!$B$17,"Ageing",IF(K556&gt;=Inputs!$B$16,"Watch","Fresh")))))</f>
        <v/>
      </c>
      <c r="M556" s="5" t="str">
        <f t="shared" si="42"/>
        <v/>
      </c>
      <c r="N556" s="12" t="str">
        <f t="shared" si="43"/>
        <v/>
      </c>
      <c r="O556" s="36" t="str">
        <f t="shared" si="44"/>
        <v/>
      </c>
    </row>
    <row r="557" spans="1:15" x14ac:dyDescent="0.25">
      <c r="A557" s="34"/>
      <c r="B557" s="33"/>
      <c r="C557" s="34"/>
      <c r="D557" s="34"/>
      <c r="E557" s="34"/>
      <c r="F557" s="34"/>
      <c r="G557" s="35"/>
      <c r="H557" s="34"/>
      <c r="I557" s="5" t="str">
        <f t="shared" si="40"/>
        <v/>
      </c>
      <c r="J557" s="12" t="str">
        <f t="shared" si="41"/>
        <v/>
      </c>
      <c r="K557" s="37" t="str">
        <f>IF(A557="","",Inputs!$B$11-B557)</f>
        <v/>
      </c>
      <c r="L557" s="5" t="str">
        <f>IF(A557="","",IF(I557&lt;=0,"Sold out",IF(K557&gt;=Inputs!$B$18,"Dead",IF(K557&gt;=Inputs!$B$17,"Ageing",IF(K557&gt;=Inputs!$B$16,"Watch","Fresh")))))</f>
        <v/>
      </c>
      <c r="M557" s="5" t="str">
        <f t="shared" si="42"/>
        <v/>
      </c>
      <c r="N557" s="12" t="str">
        <f t="shared" si="43"/>
        <v/>
      </c>
      <c r="O557" s="36" t="str">
        <f t="shared" si="44"/>
        <v/>
      </c>
    </row>
    <row r="558" spans="1:15" x14ac:dyDescent="0.25">
      <c r="A558" s="34"/>
      <c r="B558" s="33"/>
      <c r="C558" s="34"/>
      <c r="D558" s="34"/>
      <c r="E558" s="34"/>
      <c r="F558" s="34"/>
      <c r="G558" s="35"/>
      <c r="H558" s="34"/>
      <c r="I558" s="5" t="str">
        <f t="shared" si="40"/>
        <v/>
      </c>
      <c r="J558" s="12" t="str">
        <f t="shared" si="41"/>
        <v/>
      </c>
      <c r="K558" s="37" t="str">
        <f>IF(A558="","",Inputs!$B$11-B558)</f>
        <v/>
      </c>
      <c r="L558" s="5" t="str">
        <f>IF(A558="","",IF(I558&lt;=0,"Sold out",IF(K558&gt;=Inputs!$B$18,"Dead",IF(K558&gt;=Inputs!$B$17,"Ageing",IF(K558&gt;=Inputs!$B$16,"Watch","Fresh")))))</f>
        <v/>
      </c>
      <c r="M558" s="5" t="str">
        <f t="shared" si="42"/>
        <v/>
      </c>
      <c r="N558" s="12" t="str">
        <f t="shared" si="43"/>
        <v/>
      </c>
      <c r="O558" s="36" t="str">
        <f t="shared" si="44"/>
        <v/>
      </c>
    </row>
    <row r="559" spans="1:15" x14ac:dyDescent="0.25">
      <c r="A559" s="34"/>
      <c r="B559" s="33"/>
      <c r="C559" s="34"/>
      <c r="D559" s="34"/>
      <c r="E559" s="34"/>
      <c r="F559" s="34"/>
      <c r="G559" s="35"/>
      <c r="H559" s="34"/>
      <c r="I559" s="5" t="str">
        <f t="shared" si="40"/>
        <v/>
      </c>
      <c r="J559" s="12" t="str">
        <f t="shared" si="41"/>
        <v/>
      </c>
      <c r="K559" s="37" t="str">
        <f>IF(A559="","",Inputs!$B$11-B559)</f>
        <v/>
      </c>
      <c r="L559" s="5" t="str">
        <f>IF(A559="","",IF(I559&lt;=0,"Sold out",IF(K559&gt;=Inputs!$B$18,"Dead",IF(K559&gt;=Inputs!$B$17,"Ageing",IF(K559&gt;=Inputs!$B$16,"Watch","Fresh")))))</f>
        <v/>
      </c>
      <c r="M559" s="5" t="str">
        <f t="shared" si="42"/>
        <v/>
      </c>
      <c r="N559" s="12" t="str">
        <f t="shared" si="43"/>
        <v/>
      </c>
      <c r="O559" s="36" t="str">
        <f t="shared" si="44"/>
        <v/>
      </c>
    </row>
    <row r="560" spans="1:15" x14ac:dyDescent="0.25">
      <c r="A560" s="34"/>
      <c r="B560" s="33"/>
      <c r="C560" s="34"/>
      <c r="D560" s="34"/>
      <c r="E560" s="34"/>
      <c r="F560" s="34"/>
      <c r="G560" s="35"/>
      <c r="H560" s="34"/>
      <c r="I560" s="5" t="str">
        <f t="shared" si="40"/>
        <v/>
      </c>
      <c r="J560" s="12" t="str">
        <f t="shared" si="41"/>
        <v/>
      </c>
      <c r="K560" s="37" t="str">
        <f>IF(A560="","",Inputs!$B$11-B560)</f>
        <v/>
      </c>
      <c r="L560" s="5" t="str">
        <f>IF(A560="","",IF(I560&lt;=0,"Sold out",IF(K560&gt;=Inputs!$B$18,"Dead",IF(K560&gt;=Inputs!$B$17,"Ageing",IF(K560&gt;=Inputs!$B$16,"Watch","Fresh")))))</f>
        <v/>
      </c>
      <c r="M560" s="5" t="str">
        <f t="shared" si="42"/>
        <v/>
      </c>
      <c r="N560" s="12" t="str">
        <f t="shared" si="43"/>
        <v/>
      </c>
      <c r="O560" s="36" t="str">
        <f t="shared" si="44"/>
        <v/>
      </c>
    </row>
    <row r="561" spans="1:15" x14ac:dyDescent="0.25">
      <c r="A561" s="34"/>
      <c r="B561" s="33"/>
      <c r="C561" s="34"/>
      <c r="D561" s="34"/>
      <c r="E561" s="34"/>
      <c r="F561" s="34"/>
      <c r="G561" s="35"/>
      <c r="H561" s="34"/>
      <c r="I561" s="5" t="str">
        <f t="shared" si="40"/>
        <v/>
      </c>
      <c r="J561" s="12" t="str">
        <f t="shared" si="41"/>
        <v/>
      </c>
      <c r="K561" s="37" t="str">
        <f>IF(A561="","",Inputs!$B$11-B561)</f>
        <v/>
      </c>
      <c r="L561" s="5" t="str">
        <f>IF(A561="","",IF(I561&lt;=0,"Sold out",IF(K561&gt;=Inputs!$B$18,"Dead",IF(K561&gt;=Inputs!$B$17,"Ageing",IF(K561&gt;=Inputs!$B$16,"Watch","Fresh")))))</f>
        <v/>
      </c>
      <c r="M561" s="5" t="str">
        <f t="shared" si="42"/>
        <v/>
      </c>
      <c r="N561" s="12" t="str">
        <f t="shared" si="43"/>
        <v/>
      </c>
      <c r="O561" s="36" t="str">
        <f t="shared" si="44"/>
        <v/>
      </c>
    </row>
    <row r="562" spans="1:15" x14ac:dyDescent="0.25">
      <c r="A562" s="34"/>
      <c r="B562" s="33"/>
      <c r="C562" s="34"/>
      <c r="D562" s="34"/>
      <c r="E562" s="34"/>
      <c r="F562" s="34"/>
      <c r="G562" s="35"/>
      <c r="H562" s="34"/>
      <c r="I562" s="5" t="str">
        <f t="shared" si="40"/>
        <v/>
      </c>
      <c r="J562" s="12" t="str">
        <f t="shared" si="41"/>
        <v/>
      </c>
      <c r="K562" s="37" t="str">
        <f>IF(A562="","",Inputs!$B$11-B562)</f>
        <v/>
      </c>
      <c r="L562" s="5" t="str">
        <f>IF(A562="","",IF(I562&lt;=0,"Sold out",IF(K562&gt;=Inputs!$B$18,"Dead",IF(K562&gt;=Inputs!$B$17,"Ageing",IF(K562&gt;=Inputs!$B$16,"Watch","Fresh")))))</f>
        <v/>
      </c>
      <c r="M562" s="5" t="str">
        <f t="shared" si="42"/>
        <v/>
      </c>
      <c r="N562" s="12" t="str">
        <f t="shared" si="43"/>
        <v/>
      </c>
      <c r="O562" s="36" t="str">
        <f t="shared" si="44"/>
        <v/>
      </c>
    </row>
    <row r="563" spans="1:15" x14ac:dyDescent="0.25">
      <c r="A563" s="34"/>
      <c r="B563" s="33"/>
      <c r="C563" s="34"/>
      <c r="D563" s="34"/>
      <c r="E563" s="34"/>
      <c r="F563" s="34"/>
      <c r="G563" s="35"/>
      <c r="H563" s="34"/>
      <c r="I563" s="5" t="str">
        <f t="shared" si="40"/>
        <v/>
      </c>
      <c r="J563" s="12" t="str">
        <f t="shared" si="41"/>
        <v/>
      </c>
      <c r="K563" s="37" t="str">
        <f>IF(A563="","",Inputs!$B$11-B563)</f>
        <v/>
      </c>
      <c r="L563" s="5" t="str">
        <f>IF(A563="","",IF(I563&lt;=0,"Sold out",IF(K563&gt;=Inputs!$B$18,"Dead",IF(K563&gt;=Inputs!$B$17,"Ageing",IF(K563&gt;=Inputs!$B$16,"Watch","Fresh")))))</f>
        <v/>
      </c>
      <c r="M563" s="5" t="str">
        <f t="shared" si="42"/>
        <v/>
      </c>
      <c r="N563" s="12" t="str">
        <f t="shared" si="43"/>
        <v/>
      </c>
      <c r="O563" s="36" t="str">
        <f t="shared" si="44"/>
        <v/>
      </c>
    </row>
    <row r="564" spans="1:15" x14ac:dyDescent="0.25">
      <c r="A564" s="34"/>
      <c r="B564" s="33"/>
      <c r="C564" s="34"/>
      <c r="D564" s="34"/>
      <c r="E564" s="34"/>
      <c r="F564" s="34"/>
      <c r="G564" s="35"/>
      <c r="H564" s="34"/>
      <c r="I564" s="5" t="str">
        <f t="shared" si="40"/>
        <v/>
      </c>
      <c r="J564" s="12" t="str">
        <f t="shared" si="41"/>
        <v/>
      </c>
      <c r="K564" s="37" t="str">
        <f>IF(A564="","",Inputs!$B$11-B564)</f>
        <v/>
      </c>
      <c r="L564" s="5" t="str">
        <f>IF(A564="","",IF(I564&lt;=0,"Sold out",IF(K564&gt;=Inputs!$B$18,"Dead",IF(K564&gt;=Inputs!$B$17,"Ageing",IF(K564&gt;=Inputs!$B$16,"Watch","Fresh")))))</f>
        <v/>
      </c>
      <c r="M564" s="5" t="str">
        <f t="shared" si="42"/>
        <v/>
      </c>
      <c r="N564" s="12" t="str">
        <f t="shared" si="43"/>
        <v/>
      </c>
      <c r="O564" s="36" t="str">
        <f t="shared" si="44"/>
        <v/>
      </c>
    </row>
    <row r="565" spans="1:15" x14ac:dyDescent="0.25">
      <c r="A565" s="34"/>
      <c r="B565" s="33"/>
      <c r="C565" s="34"/>
      <c r="D565" s="34"/>
      <c r="E565" s="34"/>
      <c r="F565" s="34"/>
      <c r="G565" s="35"/>
      <c r="H565" s="34"/>
      <c r="I565" s="5" t="str">
        <f t="shared" si="40"/>
        <v/>
      </c>
      <c r="J565" s="12" t="str">
        <f t="shared" si="41"/>
        <v/>
      </c>
      <c r="K565" s="37" t="str">
        <f>IF(A565="","",Inputs!$B$11-B565)</f>
        <v/>
      </c>
      <c r="L565" s="5" t="str">
        <f>IF(A565="","",IF(I565&lt;=0,"Sold out",IF(K565&gt;=Inputs!$B$18,"Dead",IF(K565&gt;=Inputs!$B$17,"Ageing",IF(K565&gt;=Inputs!$B$16,"Watch","Fresh")))))</f>
        <v/>
      </c>
      <c r="M565" s="5" t="str">
        <f t="shared" si="42"/>
        <v/>
      </c>
      <c r="N565" s="12" t="str">
        <f t="shared" si="43"/>
        <v/>
      </c>
      <c r="O565" s="36" t="str">
        <f t="shared" si="44"/>
        <v/>
      </c>
    </row>
    <row r="566" spans="1:15" x14ac:dyDescent="0.25">
      <c r="A566" s="34"/>
      <c r="B566" s="33"/>
      <c r="C566" s="34"/>
      <c r="D566" s="34"/>
      <c r="E566" s="34"/>
      <c r="F566" s="34"/>
      <c r="G566" s="35"/>
      <c r="H566" s="34"/>
      <c r="I566" s="5" t="str">
        <f t="shared" si="40"/>
        <v/>
      </c>
      <c r="J566" s="12" t="str">
        <f t="shared" si="41"/>
        <v/>
      </c>
      <c r="K566" s="37" t="str">
        <f>IF(A566="","",Inputs!$B$11-B566)</f>
        <v/>
      </c>
      <c r="L566" s="5" t="str">
        <f>IF(A566="","",IF(I566&lt;=0,"Sold out",IF(K566&gt;=Inputs!$B$18,"Dead",IF(K566&gt;=Inputs!$B$17,"Ageing",IF(K566&gt;=Inputs!$B$16,"Watch","Fresh")))))</f>
        <v/>
      </c>
      <c r="M566" s="5" t="str">
        <f t="shared" si="42"/>
        <v/>
      </c>
      <c r="N566" s="12" t="str">
        <f t="shared" si="43"/>
        <v/>
      </c>
      <c r="O566" s="36" t="str">
        <f t="shared" si="44"/>
        <v/>
      </c>
    </row>
    <row r="567" spans="1:15" x14ac:dyDescent="0.25">
      <c r="A567" s="34"/>
      <c r="B567" s="33"/>
      <c r="C567" s="34"/>
      <c r="D567" s="34"/>
      <c r="E567" s="34"/>
      <c r="F567" s="34"/>
      <c r="G567" s="35"/>
      <c r="H567" s="34"/>
      <c r="I567" s="5" t="str">
        <f t="shared" si="40"/>
        <v/>
      </c>
      <c r="J567" s="12" t="str">
        <f t="shared" si="41"/>
        <v/>
      </c>
      <c r="K567" s="37" t="str">
        <f>IF(A567="","",Inputs!$B$11-B567)</f>
        <v/>
      </c>
      <c r="L567" s="5" t="str">
        <f>IF(A567="","",IF(I567&lt;=0,"Sold out",IF(K567&gt;=Inputs!$B$18,"Dead",IF(K567&gt;=Inputs!$B$17,"Ageing",IF(K567&gt;=Inputs!$B$16,"Watch","Fresh")))))</f>
        <v/>
      </c>
      <c r="M567" s="5" t="str">
        <f t="shared" si="42"/>
        <v/>
      </c>
      <c r="N567" s="12" t="str">
        <f t="shared" si="43"/>
        <v/>
      </c>
      <c r="O567" s="36" t="str">
        <f t="shared" si="44"/>
        <v/>
      </c>
    </row>
    <row r="568" spans="1:15" x14ac:dyDescent="0.25">
      <c r="A568" s="34"/>
      <c r="B568" s="33"/>
      <c r="C568" s="34"/>
      <c r="D568" s="34"/>
      <c r="E568" s="34"/>
      <c r="F568" s="34"/>
      <c r="G568" s="35"/>
      <c r="H568" s="34"/>
      <c r="I568" s="5" t="str">
        <f t="shared" si="40"/>
        <v/>
      </c>
      <c r="J568" s="12" t="str">
        <f t="shared" si="41"/>
        <v/>
      </c>
      <c r="K568" s="37" t="str">
        <f>IF(A568="","",Inputs!$B$11-B568)</f>
        <v/>
      </c>
      <c r="L568" s="5" t="str">
        <f>IF(A568="","",IF(I568&lt;=0,"Sold out",IF(K568&gt;=Inputs!$B$18,"Dead",IF(K568&gt;=Inputs!$B$17,"Ageing",IF(K568&gt;=Inputs!$B$16,"Watch","Fresh")))))</f>
        <v/>
      </c>
      <c r="M568" s="5" t="str">
        <f t="shared" si="42"/>
        <v/>
      </c>
      <c r="N568" s="12" t="str">
        <f t="shared" si="43"/>
        <v/>
      </c>
      <c r="O568" s="36" t="str">
        <f t="shared" si="44"/>
        <v/>
      </c>
    </row>
    <row r="569" spans="1:15" x14ac:dyDescent="0.25">
      <c r="A569" s="34"/>
      <c r="B569" s="33"/>
      <c r="C569" s="34"/>
      <c r="D569" s="34"/>
      <c r="E569" s="34"/>
      <c r="F569" s="34"/>
      <c r="G569" s="35"/>
      <c r="H569" s="34"/>
      <c r="I569" s="5" t="str">
        <f t="shared" si="40"/>
        <v/>
      </c>
      <c r="J569" s="12" t="str">
        <f t="shared" si="41"/>
        <v/>
      </c>
      <c r="K569" s="37" t="str">
        <f>IF(A569="","",Inputs!$B$11-B569)</f>
        <v/>
      </c>
      <c r="L569" s="5" t="str">
        <f>IF(A569="","",IF(I569&lt;=0,"Sold out",IF(K569&gt;=Inputs!$B$18,"Dead",IF(K569&gt;=Inputs!$B$17,"Ageing",IF(K569&gt;=Inputs!$B$16,"Watch","Fresh")))))</f>
        <v/>
      </c>
      <c r="M569" s="5" t="str">
        <f t="shared" si="42"/>
        <v/>
      </c>
      <c r="N569" s="12" t="str">
        <f t="shared" si="43"/>
        <v/>
      </c>
      <c r="O569" s="36" t="str">
        <f t="shared" si="44"/>
        <v/>
      </c>
    </row>
    <row r="570" spans="1:15" x14ac:dyDescent="0.25">
      <c r="A570" s="34"/>
      <c r="B570" s="33"/>
      <c r="C570" s="34"/>
      <c r="D570" s="34"/>
      <c r="E570" s="34"/>
      <c r="F570" s="34"/>
      <c r="G570" s="35"/>
      <c r="H570" s="34"/>
      <c r="I570" s="5" t="str">
        <f t="shared" si="40"/>
        <v/>
      </c>
      <c r="J570" s="12" t="str">
        <f t="shared" si="41"/>
        <v/>
      </c>
      <c r="K570" s="37" t="str">
        <f>IF(A570="","",Inputs!$B$11-B570)</f>
        <v/>
      </c>
      <c r="L570" s="5" t="str">
        <f>IF(A570="","",IF(I570&lt;=0,"Sold out",IF(K570&gt;=Inputs!$B$18,"Dead",IF(K570&gt;=Inputs!$B$17,"Ageing",IF(K570&gt;=Inputs!$B$16,"Watch","Fresh")))))</f>
        <v/>
      </c>
      <c r="M570" s="5" t="str">
        <f t="shared" si="42"/>
        <v/>
      </c>
      <c r="N570" s="12" t="str">
        <f t="shared" si="43"/>
        <v/>
      </c>
      <c r="O570" s="36" t="str">
        <f t="shared" si="44"/>
        <v/>
      </c>
    </row>
    <row r="571" spans="1:15" x14ac:dyDescent="0.25">
      <c r="A571" s="34"/>
      <c r="B571" s="33"/>
      <c r="C571" s="34"/>
      <c r="D571" s="34"/>
      <c r="E571" s="34"/>
      <c r="F571" s="34"/>
      <c r="G571" s="35"/>
      <c r="H571" s="34"/>
      <c r="I571" s="5" t="str">
        <f t="shared" si="40"/>
        <v/>
      </c>
      <c r="J571" s="12" t="str">
        <f t="shared" si="41"/>
        <v/>
      </c>
      <c r="K571" s="37" t="str">
        <f>IF(A571="","",Inputs!$B$11-B571)</f>
        <v/>
      </c>
      <c r="L571" s="5" t="str">
        <f>IF(A571="","",IF(I571&lt;=0,"Sold out",IF(K571&gt;=Inputs!$B$18,"Dead",IF(K571&gt;=Inputs!$B$17,"Ageing",IF(K571&gt;=Inputs!$B$16,"Watch","Fresh")))))</f>
        <v/>
      </c>
      <c r="M571" s="5" t="str">
        <f t="shared" si="42"/>
        <v/>
      </c>
      <c r="N571" s="12" t="str">
        <f t="shared" si="43"/>
        <v/>
      </c>
      <c r="O571" s="36" t="str">
        <f t="shared" si="44"/>
        <v/>
      </c>
    </row>
    <row r="572" spans="1:15" x14ac:dyDescent="0.25">
      <c r="A572" s="34"/>
      <c r="B572" s="33"/>
      <c r="C572" s="34"/>
      <c r="D572" s="34"/>
      <c r="E572" s="34"/>
      <c r="F572" s="34"/>
      <c r="G572" s="35"/>
      <c r="H572" s="34"/>
      <c r="I572" s="5" t="str">
        <f t="shared" si="40"/>
        <v/>
      </c>
      <c r="J572" s="12" t="str">
        <f t="shared" si="41"/>
        <v/>
      </c>
      <c r="K572" s="37" t="str">
        <f>IF(A572="","",Inputs!$B$11-B572)</f>
        <v/>
      </c>
      <c r="L572" s="5" t="str">
        <f>IF(A572="","",IF(I572&lt;=0,"Sold out",IF(K572&gt;=Inputs!$B$18,"Dead",IF(K572&gt;=Inputs!$B$17,"Ageing",IF(K572&gt;=Inputs!$B$16,"Watch","Fresh")))))</f>
        <v/>
      </c>
      <c r="M572" s="5" t="str">
        <f t="shared" si="42"/>
        <v/>
      </c>
      <c r="N572" s="12" t="str">
        <f t="shared" si="43"/>
        <v/>
      </c>
      <c r="O572" s="36" t="str">
        <f t="shared" si="44"/>
        <v/>
      </c>
    </row>
    <row r="573" spans="1:15" x14ac:dyDescent="0.25">
      <c r="A573" s="34"/>
      <c r="B573" s="33"/>
      <c r="C573" s="34"/>
      <c r="D573" s="34"/>
      <c r="E573" s="34"/>
      <c r="F573" s="34"/>
      <c r="G573" s="35"/>
      <c r="H573" s="34"/>
      <c r="I573" s="5" t="str">
        <f t="shared" si="40"/>
        <v/>
      </c>
      <c r="J573" s="12" t="str">
        <f t="shared" si="41"/>
        <v/>
      </c>
      <c r="K573" s="37" t="str">
        <f>IF(A573="","",Inputs!$B$11-B573)</f>
        <v/>
      </c>
      <c r="L573" s="5" t="str">
        <f>IF(A573="","",IF(I573&lt;=0,"Sold out",IF(K573&gt;=Inputs!$B$18,"Dead",IF(K573&gt;=Inputs!$B$17,"Ageing",IF(K573&gt;=Inputs!$B$16,"Watch","Fresh")))))</f>
        <v/>
      </c>
      <c r="M573" s="5" t="str">
        <f t="shared" si="42"/>
        <v/>
      </c>
      <c r="N573" s="12" t="str">
        <f t="shared" si="43"/>
        <v/>
      </c>
      <c r="O573" s="36" t="str">
        <f t="shared" si="44"/>
        <v/>
      </c>
    </row>
    <row r="574" spans="1:15" x14ac:dyDescent="0.25">
      <c r="A574" s="34"/>
      <c r="B574" s="33"/>
      <c r="C574" s="34"/>
      <c r="D574" s="34"/>
      <c r="E574" s="34"/>
      <c r="F574" s="34"/>
      <c r="G574" s="35"/>
      <c r="H574" s="34"/>
      <c r="I574" s="5" t="str">
        <f t="shared" si="40"/>
        <v/>
      </c>
      <c r="J574" s="12" t="str">
        <f t="shared" si="41"/>
        <v/>
      </c>
      <c r="K574" s="37" t="str">
        <f>IF(A574="","",Inputs!$B$11-B574)</f>
        <v/>
      </c>
      <c r="L574" s="5" t="str">
        <f>IF(A574="","",IF(I574&lt;=0,"Sold out",IF(K574&gt;=Inputs!$B$18,"Dead",IF(K574&gt;=Inputs!$B$17,"Ageing",IF(K574&gt;=Inputs!$B$16,"Watch","Fresh")))))</f>
        <v/>
      </c>
      <c r="M574" s="5" t="str">
        <f t="shared" si="42"/>
        <v/>
      </c>
      <c r="N574" s="12" t="str">
        <f t="shared" si="43"/>
        <v/>
      </c>
      <c r="O574" s="36" t="str">
        <f t="shared" si="44"/>
        <v/>
      </c>
    </row>
    <row r="575" spans="1:15" x14ac:dyDescent="0.25">
      <c r="A575" s="34"/>
      <c r="B575" s="33"/>
      <c r="C575" s="34"/>
      <c r="D575" s="34"/>
      <c r="E575" s="34"/>
      <c r="F575" s="34"/>
      <c r="G575" s="35"/>
      <c r="H575" s="34"/>
      <c r="I575" s="5" t="str">
        <f t="shared" si="40"/>
        <v/>
      </c>
      <c r="J575" s="12" t="str">
        <f t="shared" si="41"/>
        <v/>
      </c>
      <c r="K575" s="37" t="str">
        <f>IF(A575="","",Inputs!$B$11-B575)</f>
        <v/>
      </c>
      <c r="L575" s="5" t="str">
        <f>IF(A575="","",IF(I575&lt;=0,"Sold out",IF(K575&gt;=Inputs!$B$18,"Dead",IF(K575&gt;=Inputs!$B$17,"Ageing",IF(K575&gt;=Inputs!$B$16,"Watch","Fresh")))))</f>
        <v/>
      </c>
      <c r="M575" s="5" t="str">
        <f t="shared" si="42"/>
        <v/>
      </c>
      <c r="N575" s="12" t="str">
        <f t="shared" si="43"/>
        <v/>
      </c>
      <c r="O575" s="36" t="str">
        <f t="shared" si="44"/>
        <v/>
      </c>
    </row>
    <row r="576" spans="1:15" x14ac:dyDescent="0.25">
      <c r="A576" s="34"/>
      <c r="B576" s="33"/>
      <c r="C576" s="34"/>
      <c r="D576" s="34"/>
      <c r="E576" s="34"/>
      <c r="F576" s="34"/>
      <c r="G576" s="35"/>
      <c r="H576" s="34"/>
      <c r="I576" s="5" t="str">
        <f t="shared" si="40"/>
        <v/>
      </c>
      <c r="J576" s="12" t="str">
        <f t="shared" si="41"/>
        <v/>
      </c>
      <c r="K576" s="37" t="str">
        <f>IF(A576="","",Inputs!$B$11-B576)</f>
        <v/>
      </c>
      <c r="L576" s="5" t="str">
        <f>IF(A576="","",IF(I576&lt;=0,"Sold out",IF(K576&gt;=Inputs!$B$18,"Dead",IF(K576&gt;=Inputs!$B$17,"Ageing",IF(K576&gt;=Inputs!$B$16,"Watch","Fresh")))))</f>
        <v/>
      </c>
      <c r="M576" s="5" t="str">
        <f t="shared" si="42"/>
        <v/>
      </c>
      <c r="N576" s="12" t="str">
        <f t="shared" si="43"/>
        <v/>
      </c>
      <c r="O576" s="36" t="str">
        <f t="shared" si="44"/>
        <v/>
      </c>
    </row>
    <row r="577" spans="1:15" x14ac:dyDescent="0.25">
      <c r="A577" s="34"/>
      <c r="B577" s="33"/>
      <c r="C577" s="34"/>
      <c r="D577" s="34"/>
      <c r="E577" s="34"/>
      <c r="F577" s="34"/>
      <c r="G577" s="35"/>
      <c r="H577" s="34"/>
      <c r="I577" s="5" t="str">
        <f t="shared" si="40"/>
        <v/>
      </c>
      <c r="J577" s="12" t="str">
        <f t="shared" si="41"/>
        <v/>
      </c>
      <c r="K577" s="37" t="str">
        <f>IF(A577="","",Inputs!$B$11-B577)</f>
        <v/>
      </c>
      <c r="L577" s="5" t="str">
        <f>IF(A577="","",IF(I577&lt;=0,"Sold out",IF(K577&gt;=Inputs!$B$18,"Dead",IF(K577&gt;=Inputs!$B$17,"Ageing",IF(K577&gt;=Inputs!$B$16,"Watch","Fresh")))))</f>
        <v/>
      </c>
      <c r="M577" s="5" t="str">
        <f t="shared" si="42"/>
        <v/>
      </c>
      <c r="N577" s="12" t="str">
        <f t="shared" si="43"/>
        <v/>
      </c>
      <c r="O577" s="36" t="str">
        <f t="shared" si="44"/>
        <v/>
      </c>
    </row>
    <row r="578" spans="1:15" x14ac:dyDescent="0.25">
      <c r="A578" s="34"/>
      <c r="B578" s="33"/>
      <c r="C578" s="34"/>
      <c r="D578" s="34"/>
      <c r="E578" s="34"/>
      <c r="F578" s="34"/>
      <c r="G578" s="35"/>
      <c r="H578" s="34"/>
      <c r="I578" s="5" t="str">
        <f t="shared" si="40"/>
        <v/>
      </c>
      <c r="J578" s="12" t="str">
        <f t="shared" si="41"/>
        <v/>
      </c>
      <c r="K578" s="37" t="str">
        <f>IF(A578="","",Inputs!$B$11-B578)</f>
        <v/>
      </c>
      <c r="L578" s="5" t="str">
        <f>IF(A578="","",IF(I578&lt;=0,"Sold out",IF(K578&gt;=Inputs!$B$18,"Dead",IF(K578&gt;=Inputs!$B$17,"Ageing",IF(K578&gt;=Inputs!$B$16,"Watch","Fresh")))))</f>
        <v/>
      </c>
      <c r="M578" s="5" t="str">
        <f t="shared" si="42"/>
        <v/>
      </c>
      <c r="N578" s="12" t="str">
        <f t="shared" si="43"/>
        <v/>
      </c>
      <c r="O578" s="36" t="str">
        <f t="shared" si="44"/>
        <v/>
      </c>
    </row>
    <row r="579" spans="1:15" x14ac:dyDescent="0.25">
      <c r="A579" s="34"/>
      <c r="B579" s="33"/>
      <c r="C579" s="34"/>
      <c r="D579" s="34"/>
      <c r="E579" s="34"/>
      <c r="F579" s="34"/>
      <c r="G579" s="35"/>
      <c r="H579" s="34"/>
      <c r="I579" s="5" t="str">
        <f t="shared" si="40"/>
        <v/>
      </c>
      <c r="J579" s="12" t="str">
        <f t="shared" si="41"/>
        <v/>
      </c>
      <c r="K579" s="37" t="str">
        <f>IF(A579="","",Inputs!$B$11-B579)</f>
        <v/>
      </c>
      <c r="L579" s="5" t="str">
        <f>IF(A579="","",IF(I579&lt;=0,"Sold out",IF(K579&gt;=Inputs!$B$18,"Dead",IF(K579&gt;=Inputs!$B$17,"Ageing",IF(K579&gt;=Inputs!$B$16,"Watch","Fresh")))))</f>
        <v/>
      </c>
      <c r="M579" s="5" t="str">
        <f t="shared" si="42"/>
        <v/>
      </c>
      <c r="N579" s="12" t="str">
        <f t="shared" si="43"/>
        <v/>
      </c>
      <c r="O579" s="36" t="str">
        <f t="shared" si="44"/>
        <v/>
      </c>
    </row>
    <row r="580" spans="1:15" x14ac:dyDescent="0.25">
      <c r="A580" s="34"/>
      <c r="B580" s="33"/>
      <c r="C580" s="34"/>
      <c r="D580" s="34"/>
      <c r="E580" s="34"/>
      <c r="F580" s="34"/>
      <c r="G580" s="35"/>
      <c r="H580" s="34"/>
      <c r="I580" s="5" t="str">
        <f t="shared" si="40"/>
        <v/>
      </c>
      <c r="J580" s="12" t="str">
        <f t="shared" si="41"/>
        <v/>
      </c>
      <c r="K580" s="37" t="str">
        <f>IF(A580="","",Inputs!$B$11-B580)</f>
        <v/>
      </c>
      <c r="L580" s="5" t="str">
        <f>IF(A580="","",IF(I580&lt;=0,"Sold out",IF(K580&gt;=Inputs!$B$18,"Dead",IF(K580&gt;=Inputs!$B$17,"Ageing",IF(K580&gt;=Inputs!$B$16,"Watch","Fresh")))))</f>
        <v/>
      </c>
      <c r="M580" s="5" t="str">
        <f t="shared" si="42"/>
        <v/>
      </c>
      <c r="N580" s="12" t="str">
        <f t="shared" si="43"/>
        <v/>
      </c>
      <c r="O580" s="36" t="str">
        <f t="shared" si="44"/>
        <v/>
      </c>
    </row>
    <row r="581" spans="1:15" x14ac:dyDescent="0.25">
      <c r="A581" s="34"/>
      <c r="B581" s="33"/>
      <c r="C581" s="34"/>
      <c r="D581" s="34"/>
      <c r="E581" s="34"/>
      <c r="F581" s="34"/>
      <c r="G581" s="35"/>
      <c r="H581" s="34"/>
      <c r="I581" s="5" t="str">
        <f t="shared" si="40"/>
        <v/>
      </c>
      <c r="J581" s="12" t="str">
        <f t="shared" si="41"/>
        <v/>
      </c>
      <c r="K581" s="37" t="str">
        <f>IF(A581="","",Inputs!$B$11-B581)</f>
        <v/>
      </c>
      <c r="L581" s="5" t="str">
        <f>IF(A581="","",IF(I581&lt;=0,"Sold out",IF(K581&gt;=Inputs!$B$18,"Dead",IF(K581&gt;=Inputs!$B$17,"Ageing",IF(K581&gt;=Inputs!$B$16,"Watch","Fresh")))))</f>
        <v/>
      </c>
      <c r="M581" s="5" t="str">
        <f t="shared" si="42"/>
        <v/>
      </c>
      <c r="N581" s="12" t="str">
        <f t="shared" si="43"/>
        <v/>
      </c>
      <c r="O581" s="36" t="str">
        <f t="shared" si="44"/>
        <v/>
      </c>
    </row>
    <row r="582" spans="1:15" x14ac:dyDescent="0.25">
      <c r="A582" s="34"/>
      <c r="B582" s="33"/>
      <c r="C582" s="34"/>
      <c r="D582" s="34"/>
      <c r="E582" s="34"/>
      <c r="F582" s="34"/>
      <c r="G582" s="35"/>
      <c r="H582" s="34"/>
      <c r="I582" s="5" t="str">
        <f t="shared" ref="I582:I645" si="45">IF(A582="","",F582-H582)</f>
        <v/>
      </c>
      <c r="J582" s="12" t="str">
        <f t="shared" ref="J582:J645" si="46">IF(A582="","",I582*G582)</f>
        <v/>
      </c>
      <c r="K582" s="37" t="str">
        <f>IF(A582="","",Inputs!$B$11-B582)</f>
        <v/>
      </c>
      <c r="L582" s="5" t="str">
        <f>IF(A582="","",IF(I582&lt;=0,"Sold out",IF(K582&gt;=Inputs!$B$18,"Dead",IF(K582&gt;=Inputs!$B$17,"Ageing",IF(K582&gt;=Inputs!$B$16,"Watch","Fresh")))))</f>
        <v/>
      </c>
      <c r="M582" s="5" t="str">
        <f t="shared" ref="M582:M645" si="47">IF(L582="","",IF(L582="Dead","Clearance / exchange with vendor",IF(L582="Ageing","Markdown 20-30%",IF(L582="Watch","Push in reels &amp; WhatsApp broadcast",IF(L582="Fresh","OK","-")))))</f>
        <v/>
      </c>
      <c r="N582" s="12" t="str">
        <f t="shared" ref="N582:N645" si="48">IF(A582="","",F582*G582)</f>
        <v/>
      </c>
      <c r="O582" s="36" t="str">
        <f t="shared" ref="O582:O645" si="49">IF(B582="","",DATE(YEAR(B582),MONTH(B582),1))</f>
        <v/>
      </c>
    </row>
    <row r="583" spans="1:15" x14ac:dyDescent="0.25">
      <c r="A583" s="34"/>
      <c r="B583" s="33"/>
      <c r="C583" s="34"/>
      <c r="D583" s="34"/>
      <c r="E583" s="34"/>
      <c r="F583" s="34"/>
      <c r="G583" s="35"/>
      <c r="H583" s="34"/>
      <c r="I583" s="5" t="str">
        <f t="shared" si="45"/>
        <v/>
      </c>
      <c r="J583" s="12" t="str">
        <f t="shared" si="46"/>
        <v/>
      </c>
      <c r="K583" s="37" t="str">
        <f>IF(A583="","",Inputs!$B$11-B583)</f>
        <v/>
      </c>
      <c r="L583" s="5" t="str">
        <f>IF(A583="","",IF(I583&lt;=0,"Sold out",IF(K583&gt;=Inputs!$B$18,"Dead",IF(K583&gt;=Inputs!$B$17,"Ageing",IF(K583&gt;=Inputs!$B$16,"Watch","Fresh")))))</f>
        <v/>
      </c>
      <c r="M583" s="5" t="str">
        <f t="shared" si="47"/>
        <v/>
      </c>
      <c r="N583" s="12" t="str">
        <f t="shared" si="48"/>
        <v/>
      </c>
      <c r="O583" s="36" t="str">
        <f t="shared" si="49"/>
        <v/>
      </c>
    </row>
    <row r="584" spans="1:15" x14ac:dyDescent="0.25">
      <c r="A584" s="34"/>
      <c r="B584" s="33"/>
      <c r="C584" s="34"/>
      <c r="D584" s="34"/>
      <c r="E584" s="34"/>
      <c r="F584" s="34"/>
      <c r="G584" s="35"/>
      <c r="H584" s="34"/>
      <c r="I584" s="5" t="str">
        <f t="shared" si="45"/>
        <v/>
      </c>
      <c r="J584" s="12" t="str">
        <f t="shared" si="46"/>
        <v/>
      </c>
      <c r="K584" s="37" t="str">
        <f>IF(A584="","",Inputs!$B$11-B584)</f>
        <v/>
      </c>
      <c r="L584" s="5" t="str">
        <f>IF(A584="","",IF(I584&lt;=0,"Sold out",IF(K584&gt;=Inputs!$B$18,"Dead",IF(K584&gt;=Inputs!$B$17,"Ageing",IF(K584&gt;=Inputs!$B$16,"Watch","Fresh")))))</f>
        <v/>
      </c>
      <c r="M584" s="5" t="str">
        <f t="shared" si="47"/>
        <v/>
      </c>
      <c r="N584" s="12" t="str">
        <f t="shared" si="48"/>
        <v/>
      </c>
      <c r="O584" s="36" t="str">
        <f t="shared" si="49"/>
        <v/>
      </c>
    </row>
    <row r="585" spans="1:15" x14ac:dyDescent="0.25">
      <c r="A585" s="34"/>
      <c r="B585" s="33"/>
      <c r="C585" s="34"/>
      <c r="D585" s="34"/>
      <c r="E585" s="34"/>
      <c r="F585" s="34"/>
      <c r="G585" s="35"/>
      <c r="H585" s="34"/>
      <c r="I585" s="5" t="str">
        <f t="shared" si="45"/>
        <v/>
      </c>
      <c r="J585" s="12" t="str">
        <f t="shared" si="46"/>
        <v/>
      </c>
      <c r="K585" s="37" t="str">
        <f>IF(A585="","",Inputs!$B$11-B585)</f>
        <v/>
      </c>
      <c r="L585" s="5" t="str">
        <f>IF(A585="","",IF(I585&lt;=0,"Sold out",IF(K585&gt;=Inputs!$B$18,"Dead",IF(K585&gt;=Inputs!$B$17,"Ageing",IF(K585&gt;=Inputs!$B$16,"Watch","Fresh")))))</f>
        <v/>
      </c>
      <c r="M585" s="5" t="str">
        <f t="shared" si="47"/>
        <v/>
      </c>
      <c r="N585" s="12" t="str">
        <f t="shared" si="48"/>
        <v/>
      </c>
      <c r="O585" s="36" t="str">
        <f t="shared" si="49"/>
        <v/>
      </c>
    </row>
    <row r="586" spans="1:15" x14ac:dyDescent="0.25">
      <c r="A586" s="34"/>
      <c r="B586" s="33"/>
      <c r="C586" s="34"/>
      <c r="D586" s="34"/>
      <c r="E586" s="34"/>
      <c r="F586" s="34"/>
      <c r="G586" s="35"/>
      <c r="H586" s="34"/>
      <c r="I586" s="5" t="str">
        <f t="shared" si="45"/>
        <v/>
      </c>
      <c r="J586" s="12" t="str">
        <f t="shared" si="46"/>
        <v/>
      </c>
      <c r="K586" s="37" t="str">
        <f>IF(A586="","",Inputs!$B$11-B586)</f>
        <v/>
      </c>
      <c r="L586" s="5" t="str">
        <f>IF(A586="","",IF(I586&lt;=0,"Sold out",IF(K586&gt;=Inputs!$B$18,"Dead",IF(K586&gt;=Inputs!$B$17,"Ageing",IF(K586&gt;=Inputs!$B$16,"Watch","Fresh")))))</f>
        <v/>
      </c>
      <c r="M586" s="5" t="str">
        <f t="shared" si="47"/>
        <v/>
      </c>
      <c r="N586" s="12" t="str">
        <f t="shared" si="48"/>
        <v/>
      </c>
      <c r="O586" s="36" t="str">
        <f t="shared" si="49"/>
        <v/>
      </c>
    </row>
    <row r="587" spans="1:15" x14ac:dyDescent="0.25">
      <c r="A587" s="34"/>
      <c r="B587" s="33"/>
      <c r="C587" s="34"/>
      <c r="D587" s="34"/>
      <c r="E587" s="34"/>
      <c r="F587" s="34"/>
      <c r="G587" s="35"/>
      <c r="H587" s="34"/>
      <c r="I587" s="5" t="str">
        <f t="shared" si="45"/>
        <v/>
      </c>
      <c r="J587" s="12" t="str">
        <f t="shared" si="46"/>
        <v/>
      </c>
      <c r="K587" s="37" t="str">
        <f>IF(A587="","",Inputs!$B$11-B587)</f>
        <v/>
      </c>
      <c r="L587" s="5" t="str">
        <f>IF(A587="","",IF(I587&lt;=0,"Sold out",IF(K587&gt;=Inputs!$B$18,"Dead",IF(K587&gt;=Inputs!$B$17,"Ageing",IF(K587&gt;=Inputs!$B$16,"Watch","Fresh")))))</f>
        <v/>
      </c>
      <c r="M587" s="5" t="str">
        <f t="shared" si="47"/>
        <v/>
      </c>
      <c r="N587" s="12" t="str">
        <f t="shared" si="48"/>
        <v/>
      </c>
      <c r="O587" s="36" t="str">
        <f t="shared" si="49"/>
        <v/>
      </c>
    </row>
    <row r="588" spans="1:15" x14ac:dyDescent="0.25">
      <c r="A588" s="34"/>
      <c r="B588" s="33"/>
      <c r="C588" s="34"/>
      <c r="D588" s="34"/>
      <c r="E588" s="34"/>
      <c r="F588" s="34"/>
      <c r="G588" s="35"/>
      <c r="H588" s="34"/>
      <c r="I588" s="5" t="str">
        <f t="shared" si="45"/>
        <v/>
      </c>
      <c r="J588" s="12" t="str">
        <f t="shared" si="46"/>
        <v/>
      </c>
      <c r="K588" s="37" t="str">
        <f>IF(A588="","",Inputs!$B$11-B588)</f>
        <v/>
      </c>
      <c r="L588" s="5" t="str">
        <f>IF(A588="","",IF(I588&lt;=0,"Sold out",IF(K588&gt;=Inputs!$B$18,"Dead",IF(K588&gt;=Inputs!$B$17,"Ageing",IF(K588&gt;=Inputs!$B$16,"Watch","Fresh")))))</f>
        <v/>
      </c>
      <c r="M588" s="5" t="str">
        <f t="shared" si="47"/>
        <v/>
      </c>
      <c r="N588" s="12" t="str">
        <f t="shared" si="48"/>
        <v/>
      </c>
      <c r="O588" s="36" t="str">
        <f t="shared" si="49"/>
        <v/>
      </c>
    </row>
    <row r="589" spans="1:15" x14ac:dyDescent="0.25">
      <c r="A589" s="34"/>
      <c r="B589" s="33"/>
      <c r="C589" s="34"/>
      <c r="D589" s="34"/>
      <c r="E589" s="34"/>
      <c r="F589" s="34"/>
      <c r="G589" s="35"/>
      <c r="H589" s="34"/>
      <c r="I589" s="5" t="str">
        <f t="shared" si="45"/>
        <v/>
      </c>
      <c r="J589" s="12" t="str">
        <f t="shared" si="46"/>
        <v/>
      </c>
      <c r="K589" s="37" t="str">
        <f>IF(A589="","",Inputs!$B$11-B589)</f>
        <v/>
      </c>
      <c r="L589" s="5" t="str">
        <f>IF(A589="","",IF(I589&lt;=0,"Sold out",IF(K589&gt;=Inputs!$B$18,"Dead",IF(K589&gt;=Inputs!$B$17,"Ageing",IF(K589&gt;=Inputs!$B$16,"Watch","Fresh")))))</f>
        <v/>
      </c>
      <c r="M589" s="5" t="str">
        <f t="shared" si="47"/>
        <v/>
      </c>
      <c r="N589" s="12" t="str">
        <f t="shared" si="48"/>
        <v/>
      </c>
      <c r="O589" s="36" t="str">
        <f t="shared" si="49"/>
        <v/>
      </c>
    </row>
    <row r="590" spans="1:15" x14ac:dyDescent="0.25">
      <c r="A590" s="34"/>
      <c r="B590" s="33"/>
      <c r="C590" s="34"/>
      <c r="D590" s="34"/>
      <c r="E590" s="34"/>
      <c r="F590" s="34"/>
      <c r="G590" s="35"/>
      <c r="H590" s="34"/>
      <c r="I590" s="5" t="str">
        <f t="shared" si="45"/>
        <v/>
      </c>
      <c r="J590" s="12" t="str">
        <f t="shared" si="46"/>
        <v/>
      </c>
      <c r="K590" s="37" t="str">
        <f>IF(A590="","",Inputs!$B$11-B590)</f>
        <v/>
      </c>
      <c r="L590" s="5" t="str">
        <f>IF(A590="","",IF(I590&lt;=0,"Sold out",IF(K590&gt;=Inputs!$B$18,"Dead",IF(K590&gt;=Inputs!$B$17,"Ageing",IF(K590&gt;=Inputs!$B$16,"Watch","Fresh")))))</f>
        <v/>
      </c>
      <c r="M590" s="5" t="str">
        <f t="shared" si="47"/>
        <v/>
      </c>
      <c r="N590" s="12" t="str">
        <f t="shared" si="48"/>
        <v/>
      </c>
      <c r="O590" s="36" t="str">
        <f t="shared" si="49"/>
        <v/>
      </c>
    </row>
    <row r="591" spans="1:15" x14ac:dyDescent="0.25">
      <c r="A591" s="34"/>
      <c r="B591" s="33"/>
      <c r="C591" s="34"/>
      <c r="D591" s="34"/>
      <c r="E591" s="34"/>
      <c r="F591" s="34"/>
      <c r="G591" s="35"/>
      <c r="H591" s="34"/>
      <c r="I591" s="5" t="str">
        <f t="shared" si="45"/>
        <v/>
      </c>
      <c r="J591" s="12" t="str">
        <f t="shared" si="46"/>
        <v/>
      </c>
      <c r="K591" s="37" t="str">
        <f>IF(A591="","",Inputs!$B$11-B591)</f>
        <v/>
      </c>
      <c r="L591" s="5" t="str">
        <f>IF(A591="","",IF(I591&lt;=0,"Sold out",IF(K591&gt;=Inputs!$B$18,"Dead",IF(K591&gt;=Inputs!$B$17,"Ageing",IF(K591&gt;=Inputs!$B$16,"Watch","Fresh")))))</f>
        <v/>
      </c>
      <c r="M591" s="5" t="str">
        <f t="shared" si="47"/>
        <v/>
      </c>
      <c r="N591" s="12" t="str">
        <f t="shared" si="48"/>
        <v/>
      </c>
      <c r="O591" s="36" t="str">
        <f t="shared" si="49"/>
        <v/>
      </c>
    </row>
    <row r="592" spans="1:15" x14ac:dyDescent="0.25">
      <c r="A592" s="34"/>
      <c r="B592" s="33"/>
      <c r="C592" s="34"/>
      <c r="D592" s="34"/>
      <c r="E592" s="34"/>
      <c r="F592" s="34"/>
      <c r="G592" s="35"/>
      <c r="H592" s="34"/>
      <c r="I592" s="5" t="str">
        <f t="shared" si="45"/>
        <v/>
      </c>
      <c r="J592" s="12" t="str">
        <f t="shared" si="46"/>
        <v/>
      </c>
      <c r="K592" s="37" t="str">
        <f>IF(A592="","",Inputs!$B$11-B592)</f>
        <v/>
      </c>
      <c r="L592" s="5" t="str">
        <f>IF(A592="","",IF(I592&lt;=0,"Sold out",IF(K592&gt;=Inputs!$B$18,"Dead",IF(K592&gt;=Inputs!$B$17,"Ageing",IF(K592&gt;=Inputs!$B$16,"Watch","Fresh")))))</f>
        <v/>
      </c>
      <c r="M592" s="5" t="str">
        <f t="shared" si="47"/>
        <v/>
      </c>
      <c r="N592" s="12" t="str">
        <f t="shared" si="48"/>
        <v/>
      </c>
      <c r="O592" s="36" t="str">
        <f t="shared" si="49"/>
        <v/>
      </c>
    </row>
    <row r="593" spans="1:15" x14ac:dyDescent="0.25">
      <c r="A593" s="34"/>
      <c r="B593" s="33"/>
      <c r="C593" s="34"/>
      <c r="D593" s="34"/>
      <c r="E593" s="34"/>
      <c r="F593" s="34"/>
      <c r="G593" s="35"/>
      <c r="H593" s="34"/>
      <c r="I593" s="5" t="str">
        <f t="shared" si="45"/>
        <v/>
      </c>
      <c r="J593" s="12" t="str">
        <f t="shared" si="46"/>
        <v/>
      </c>
      <c r="K593" s="37" t="str">
        <f>IF(A593="","",Inputs!$B$11-B593)</f>
        <v/>
      </c>
      <c r="L593" s="5" t="str">
        <f>IF(A593="","",IF(I593&lt;=0,"Sold out",IF(K593&gt;=Inputs!$B$18,"Dead",IF(K593&gt;=Inputs!$B$17,"Ageing",IF(K593&gt;=Inputs!$B$16,"Watch","Fresh")))))</f>
        <v/>
      </c>
      <c r="M593" s="5" t="str">
        <f t="shared" si="47"/>
        <v/>
      </c>
      <c r="N593" s="12" t="str">
        <f t="shared" si="48"/>
        <v/>
      </c>
      <c r="O593" s="36" t="str">
        <f t="shared" si="49"/>
        <v/>
      </c>
    </row>
    <row r="594" spans="1:15" x14ac:dyDescent="0.25">
      <c r="A594" s="34"/>
      <c r="B594" s="33"/>
      <c r="C594" s="34"/>
      <c r="D594" s="34"/>
      <c r="E594" s="34"/>
      <c r="F594" s="34"/>
      <c r="G594" s="35"/>
      <c r="H594" s="34"/>
      <c r="I594" s="5" t="str">
        <f t="shared" si="45"/>
        <v/>
      </c>
      <c r="J594" s="12" t="str">
        <f t="shared" si="46"/>
        <v/>
      </c>
      <c r="K594" s="37" t="str">
        <f>IF(A594="","",Inputs!$B$11-B594)</f>
        <v/>
      </c>
      <c r="L594" s="5" t="str">
        <f>IF(A594="","",IF(I594&lt;=0,"Sold out",IF(K594&gt;=Inputs!$B$18,"Dead",IF(K594&gt;=Inputs!$B$17,"Ageing",IF(K594&gt;=Inputs!$B$16,"Watch","Fresh")))))</f>
        <v/>
      </c>
      <c r="M594" s="5" t="str">
        <f t="shared" si="47"/>
        <v/>
      </c>
      <c r="N594" s="12" t="str">
        <f t="shared" si="48"/>
        <v/>
      </c>
      <c r="O594" s="36" t="str">
        <f t="shared" si="49"/>
        <v/>
      </c>
    </row>
    <row r="595" spans="1:15" x14ac:dyDescent="0.25">
      <c r="A595" s="34"/>
      <c r="B595" s="33"/>
      <c r="C595" s="34"/>
      <c r="D595" s="34"/>
      <c r="E595" s="34"/>
      <c r="F595" s="34"/>
      <c r="G595" s="35"/>
      <c r="H595" s="34"/>
      <c r="I595" s="5" t="str">
        <f t="shared" si="45"/>
        <v/>
      </c>
      <c r="J595" s="12" t="str">
        <f t="shared" si="46"/>
        <v/>
      </c>
      <c r="K595" s="37" t="str">
        <f>IF(A595="","",Inputs!$B$11-B595)</f>
        <v/>
      </c>
      <c r="L595" s="5" t="str">
        <f>IF(A595="","",IF(I595&lt;=0,"Sold out",IF(K595&gt;=Inputs!$B$18,"Dead",IF(K595&gt;=Inputs!$B$17,"Ageing",IF(K595&gt;=Inputs!$B$16,"Watch","Fresh")))))</f>
        <v/>
      </c>
      <c r="M595" s="5" t="str">
        <f t="shared" si="47"/>
        <v/>
      </c>
      <c r="N595" s="12" t="str">
        <f t="shared" si="48"/>
        <v/>
      </c>
      <c r="O595" s="36" t="str">
        <f t="shared" si="49"/>
        <v/>
      </c>
    </row>
    <row r="596" spans="1:15" x14ac:dyDescent="0.25">
      <c r="A596" s="34"/>
      <c r="B596" s="33"/>
      <c r="C596" s="34"/>
      <c r="D596" s="34"/>
      <c r="E596" s="34"/>
      <c r="F596" s="34"/>
      <c r="G596" s="35"/>
      <c r="H596" s="34"/>
      <c r="I596" s="5" t="str">
        <f t="shared" si="45"/>
        <v/>
      </c>
      <c r="J596" s="12" t="str">
        <f t="shared" si="46"/>
        <v/>
      </c>
      <c r="K596" s="37" t="str">
        <f>IF(A596="","",Inputs!$B$11-B596)</f>
        <v/>
      </c>
      <c r="L596" s="5" t="str">
        <f>IF(A596="","",IF(I596&lt;=0,"Sold out",IF(K596&gt;=Inputs!$B$18,"Dead",IF(K596&gt;=Inputs!$B$17,"Ageing",IF(K596&gt;=Inputs!$B$16,"Watch","Fresh")))))</f>
        <v/>
      </c>
      <c r="M596" s="5" t="str">
        <f t="shared" si="47"/>
        <v/>
      </c>
      <c r="N596" s="12" t="str">
        <f t="shared" si="48"/>
        <v/>
      </c>
      <c r="O596" s="36" t="str">
        <f t="shared" si="49"/>
        <v/>
      </c>
    </row>
    <row r="597" spans="1:15" x14ac:dyDescent="0.25">
      <c r="A597" s="34"/>
      <c r="B597" s="33"/>
      <c r="C597" s="34"/>
      <c r="D597" s="34"/>
      <c r="E597" s="34"/>
      <c r="F597" s="34"/>
      <c r="G597" s="35"/>
      <c r="H597" s="34"/>
      <c r="I597" s="5" t="str">
        <f t="shared" si="45"/>
        <v/>
      </c>
      <c r="J597" s="12" t="str">
        <f t="shared" si="46"/>
        <v/>
      </c>
      <c r="K597" s="37" t="str">
        <f>IF(A597="","",Inputs!$B$11-B597)</f>
        <v/>
      </c>
      <c r="L597" s="5" t="str">
        <f>IF(A597="","",IF(I597&lt;=0,"Sold out",IF(K597&gt;=Inputs!$B$18,"Dead",IF(K597&gt;=Inputs!$B$17,"Ageing",IF(K597&gt;=Inputs!$B$16,"Watch","Fresh")))))</f>
        <v/>
      </c>
      <c r="M597" s="5" t="str">
        <f t="shared" si="47"/>
        <v/>
      </c>
      <c r="N597" s="12" t="str">
        <f t="shared" si="48"/>
        <v/>
      </c>
      <c r="O597" s="36" t="str">
        <f t="shared" si="49"/>
        <v/>
      </c>
    </row>
    <row r="598" spans="1:15" x14ac:dyDescent="0.25">
      <c r="A598" s="34"/>
      <c r="B598" s="33"/>
      <c r="C598" s="34"/>
      <c r="D598" s="34"/>
      <c r="E598" s="34"/>
      <c r="F598" s="34"/>
      <c r="G598" s="35"/>
      <c r="H598" s="34"/>
      <c r="I598" s="5" t="str">
        <f t="shared" si="45"/>
        <v/>
      </c>
      <c r="J598" s="12" t="str">
        <f t="shared" si="46"/>
        <v/>
      </c>
      <c r="K598" s="37" t="str">
        <f>IF(A598="","",Inputs!$B$11-B598)</f>
        <v/>
      </c>
      <c r="L598" s="5" t="str">
        <f>IF(A598="","",IF(I598&lt;=0,"Sold out",IF(K598&gt;=Inputs!$B$18,"Dead",IF(K598&gt;=Inputs!$B$17,"Ageing",IF(K598&gt;=Inputs!$B$16,"Watch","Fresh")))))</f>
        <v/>
      </c>
      <c r="M598" s="5" t="str">
        <f t="shared" si="47"/>
        <v/>
      </c>
      <c r="N598" s="12" t="str">
        <f t="shared" si="48"/>
        <v/>
      </c>
      <c r="O598" s="36" t="str">
        <f t="shared" si="49"/>
        <v/>
      </c>
    </row>
    <row r="599" spans="1:15" x14ac:dyDescent="0.25">
      <c r="A599" s="34"/>
      <c r="B599" s="33"/>
      <c r="C599" s="34"/>
      <c r="D599" s="34"/>
      <c r="E599" s="34"/>
      <c r="F599" s="34"/>
      <c r="G599" s="35"/>
      <c r="H599" s="34"/>
      <c r="I599" s="5" t="str">
        <f t="shared" si="45"/>
        <v/>
      </c>
      <c r="J599" s="12" t="str">
        <f t="shared" si="46"/>
        <v/>
      </c>
      <c r="K599" s="37" t="str">
        <f>IF(A599="","",Inputs!$B$11-B599)</f>
        <v/>
      </c>
      <c r="L599" s="5" t="str">
        <f>IF(A599="","",IF(I599&lt;=0,"Sold out",IF(K599&gt;=Inputs!$B$18,"Dead",IF(K599&gt;=Inputs!$B$17,"Ageing",IF(K599&gt;=Inputs!$B$16,"Watch","Fresh")))))</f>
        <v/>
      </c>
      <c r="M599" s="5" t="str">
        <f t="shared" si="47"/>
        <v/>
      </c>
      <c r="N599" s="12" t="str">
        <f t="shared" si="48"/>
        <v/>
      </c>
      <c r="O599" s="36" t="str">
        <f t="shared" si="49"/>
        <v/>
      </c>
    </row>
    <row r="600" spans="1:15" x14ac:dyDescent="0.25">
      <c r="A600" s="34"/>
      <c r="B600" s="33"/>
      <c r="C600" s="34"/>
      <c r="D600" s="34"/>
      <c r="E600" s="34"/>
      <c r="F600" s="34"/>
      <c r="G600" s="35"/>
      <c r="H600" s="34"/>
      <c r="I600" s="5" t="str">
        <f t="shared" si="45"/>
        <v/>
      </c>
      <c r="J600" s="12" t="str">
        <f t="shared" si="46"/>
        <v/>
      </c>
      <c r="K600" s="37" t="str">
        <f>IF(A600="","",Inputs!$B$11-B600)</f>
        <v/>
      </c>
      <c r="L600" s="5" t="str">
        <f>IF(A600="","",IF(I600&lt;=0,"Sold out",IF(K600&gt;=Inputs!$B$18,"Dead",IF(K600&gt;=Inputs!$B$17,"Ageing",IF(K600&gt;=Inputs!$B$16,"Watch","Fresh")))))</f>
        <v/>
      </c>
      <c r="M600" s="5" t="str">
        <f t="shared" si="47"/>
        <v/>
      </c>
      <c r="N600" s="12" t="str">
        <f t="shared" si="48"/>
        <v/>
      </c>
      <c r="O600" s="36" t="str">
        <f t="shared" si="49"/>
        <v/>
      </c>
    </row>
    <row r="601" spans="1:15" x14ac:dyDescent="0.25">
      <c r="A601" s="34"/>
      <c r="B601" s="33"/>
      <c r="C601" s="34"/>
      <c r="D601" s="34"/>
      <c r="E601" s="34"/>
      <c r="F601" s="34"/>
      <c r="G601" s="35"/>
      <c r="H601" s="34"/>
      <c r="I601" s="5" t="str">
        <f t="shared" si="45"/>
        <v/>
      </c>
      <c r="J601" s="12" t="str">
        <f t="shared" si="46"/>
        <v/>
      </c>
      <c r="K601" s="37" t="str">
        <f>IF(A601="","",Inputs!$B$11-B601)</f>
        <v/>
      </c>
      <c r="L601" s="5" t="str">
        <f>IF(A601="","",IF(I601&lt;=0,"Sold out",IF(K601&gt;=Inputs!$B$18,"Dead",IF(K601&gt;=Inputs!$B$17,"Ageing",IF(K601&gt;=Inputs!$B$16,"Watch","Fresh")))))</f>
        <v/>
      </c>
      <c r="M601" s="5" t="str">
        <f t="shared" si="47"/>
        <v/>
      </c>
      <c r="N601" s="12" t="str">
        <f t="shared" si="48"/>
        <v/>
      </c>
      <c r="O601" s="36" t="str">
        <f t="shared" si="49"/>
        <v/>
      </c>
    </row>
    <row r="602" spans="1:15" x14ac:dyDescent="0.25">
      <c r="A602" s="34"/>
      <c r="B602" s="33"/>
      <c r="C602" s="34"/>
      <c r="D602" s="34"/>
      <c r="E602" s="34"/>
      <c r="F602" s="34"/>
      <c r="G602" s="35"/>
      <c r="H602" s="34"/>
      <c r="I602" s="5" t="str">
        <f t="shared" si="45"/>
        <v/>
      </c>
      <c r="J602" s="12" t="str">
        <f t="shared" si="46"/>
        <v/>
      </c>
      <c r="K602" s="37" t="str">
        <f>IF(A602="","",Inputs!$B$11-B602)</f>
        <v/>
      </c>
      <c r="L602" s="5" t="str">
        <f>IF(A602="","",IF(I602&lt;=0,"Sold out",IF(K602&gt;=Inputs!$B$18,"Dead",IF(K602&gt;=Inputs!$B$17,"Ageing",IF(K602&gt;=Inputs!$B$16,"Watch","Fresh")))))</f>
        <v/>
      </c>
      <c r="M602" s="5" t="str">
        <f t="shared" si="47"/>
        <v/>
      </c>
      <c r="N602" s="12" t="str">
        <f t="shared" si="48"/>
        <v/>
      </c>
      <c r="O602" s="36" t="str">
        <f t="shared" si="49"/>
        <v/>
      </c>
    </row>
    <row r="603" spans="1:15" x14ac:dyDescent="0.25">
      <c r="A603" s="34"/>
      <c r="B603" s="33"/>
      <c r="C603" s="34"/>
      <c r="D603" s="34"/>
      <c r="E603" s="34"/>
      <c r="F603" s="34"/>
      <c r="G603" s="35"/>
      <c r="H603" s="34"/>
      <c r="I603" s="5" t="str">
        <f t="shared" si="45"/>
        <v/>
      </c>
      <c r="J603" s="12" t="str">
        <f t="shared" si="46"/>
        <v/>
      </c>
      <c r="K603" s="37" t="str">
        <f>IF(A603="","",Inputs!$B$11-B603)</f>
        <v/>
      </c>
      <c r="L603" s="5" t="str">
        <f>IF(A603="","",IF(I603&lt;=0,"Sold out",IF(K603&gt;=Inputs!$B$18,"Dead",IF(K603&gt;=Inputs!$B$17,"Ageing",IF(K603&gt;=Inputs!$B$16,"Watch","Fresh")))))</f>
        <v/>
      </c>
      <c r="M603" s="5" t="str">
        <f t="shared" si="47"/>
        <v/>
      </c>
      <c r="N603" s="12" t="str">
        <f t="shared" si="48"/>
        <v/>
      </c>
      <c r="O603" s="36" t="str">
        <f t="shared" si="49"/>
        <v/>
      </c>
    </row>
    <row r="604" spans="1:15" x14ac:dyDescent="0.25">
      <c r="A604" s="34"/>
      <c r="B604" s="33"/>
      <c r="C604" s="34"/>
      <c r="D604" s="34"/>
      <c r="E604" s="34"/>
      <c r="F604" s="34"/>
      <c r="G604" s="35"/>
      <c r="H604" s="34"/>
      <c r="I604" s="5" t="str">
        <f t="shared" si="45"/>
        <v/>
      </c>
      <c r="J604" s="12" t="str">
        <f t="shared" si="46"/>
        <v/>
      </c>
      <c r="K604" s="37" t="str">
        <f>IF(A604="","",Inputs!$B$11-B604)</f>
        <v/>
      </c>
      <c r="L604" s="5" t="str">
        <f>IF(A604="","",IF(I604&lt;=0,"Sold out",IF(K604&gt;=Inputs!$B$18,"Dead",IF(K604&gt;=Inputs!$B$17,"Ageing",IF(K604&gt;=Inputs!$B$16,"Watch","Fresh")))))</f>
        <v/>
      </c>
      <c r="M604" s="5" t="str">
        <f t="shared" si="47"/>
        <v/>
      </c>
      <c r="N604" s="12" t="str">
        <f t="shared" si="48"/>
        <v/>
      </c>
      <c r="O604" s="36" t="str">
        <f t="shared" si="49"/>
        <v/>
      </c>
    </row>
    <row r="605" spans="1:15" x14ac:dyDescent="0.25">
      <c r="A605" s="34"/>
      <c r="B605" s="33"/>
      <c r="C605" s="34"/>
      <c r="D605" s="34"/>
      <c r="E605" s="34"/>
      <c r="F605" s="34"/>
      <c r="G605" s="35"/>
      <c r="H605" s="34"/>
      <c r="I605" s="5" t="str">
        <f t="shared" si="45"/>
        <v/>
      </c>
      <c r="J605" s="12" t="str">
        <f t="shared" si="46"/>
        <v/>
      </c>
      <c r="K605" s="37" t="str">
        <f>IF(A605="","",Inputs!$B$11-B605)</f>
        <v/>
      </c>
      <c r="L605" s="5" t="str">
        <f>IF(A605="","",IF(I605&lt;=0,"Sold out",IF(K605&gt;=Inputs!$B$18,"Dead",IF(K605&gt;=Inputs!$B$17,"Ageing",IF(K605&gt;=Inputs!$B$16,"Watch","Fresh")))))</f>
        <v/>
      </c>
      <c r="M605" s="5" t="str">
        <f t="shared" si="47"/>
        <v/>
      </c>
      <c r="N605" s="12" t="str">
        <f t="shared" si="48"/>
        <v/>
      </c>
      <c r="O605" s="36" t="str">
        <f t="shared" si="49"/>
        <v/>
      </c>
    </row>
    <row r="606" spans="1:15" x14ac:dyDescent="0.25">
      <c r="A606" s="34"/>
      <c r="B606" s="33"/>
      <c r="C606" s="34"/>
      <c r="D606" s="34"/>
      <c r="E606" s="34"/>
      <c r="F606" s="34"/>
      <c r="G606" s="35"/>
      <c r="H606" s="34"/>
      <c r="I606" s="5" t="str">
        <f t="shared" si="45"/>
        <v/>
      </c>
      <c r="J606" s="12" t="str">
        <f t="shared" si="46"/>
        <v/>
      </c>
      <c r="K606" s="37" t="str">
        <f>IF(A606="","",Inputs!$B$11-B606)</f>
        <v/>
      </c>
      <c r="L606" s="5" t="str">
        <f>IF(A606="","",IF(I606&lt;=0,"Sold out",IF(K606&gt;=Inputs!$B$18,"Dead",IF(K606&gt;=Inputs!$B$17,"Ageing",IF(K606&gt;=Inputs!$B$16,"Watch","Fresh")))))</f>
        <v/>
      </c>
      <c r="M606" s="5" t="str">
        <f t="shared" si="47"/>
        <v/>
      </c>
      <c r="N606" s="12" t="str">
        <f t="shared" si="48"/>
        <v/>
      </c>
      <c r="O606" s="36" t="str">
        <f t="shared" si="49"/>
        <v/>
      </c>
    </row>
    <row r="607" spans="1:15" x14ac:dyDescent="0.25">
      <c r="A607" s="34"/>
      <c r="B607" s="33"/>
      <c r="C607" s="34"/>
      <c r="D607" s="34"/>
      <c r="E607" s="34"/>
      <c r="F607" s="34"/>
      <c r="G607" s="35"/>
      <c r="H607" s="34"/>
      <c r="I607" s="5" t="str">
        <f t="shared" si="45"/>
        <v/>
      </c>
      <c r="J607" s="12" t="str">
        <f t="shared" si="46"/>
        <v/>
      </c>
      <c r="K607" s="37" t="str">
        <f>IF(A607="","",Inputs!$B$11-B607)</f>
        <v/>
      </c>
      <c r="L607" s="5" t="str">
        <f>IF(A607="","",IF(I607&lt;=0,"Sold out",IF(K607&gt;=Inputs!$B$18,"Dead",IF(K607&gt;=Inputs!$B$17,"Ageing",IF(K607&gt;=Inputs!$B$16,"Watch","Fresh")))))</f>
        <v/>
      </c>
      <c r="M607" s="5" t="str">
        <f t="shared" si="47"/>
        <v/>
      </c>
      <c r="N607" s="12" t="str">
        <f t="shared" si="48"/>
        <v/>
      </c>
      <c r="O607" s="36" t="str">
        <f t="shared" si="49"/>
        <v/>
      </c>
    </row>
    <row r="608" spans="1:15" x14ac:dyDescent="0.25">
      <c r="A608" s="34"/>
      <c r="B608" s="33"/>
      <c r="C608" s="34"/>
      <c r="D608" s="34"/>
      <c r="E608" s="34"/>
      <c r="F608" s="34"/>
      <c r="G608" s="35"/>
      <c r="H608" s="34"/>
      <c r="I608" s="5" t="str">
        <f t="shared" si="45"/>
        <v/>
      </c>
      <c r="J608" s="12" t="str">
        <f t="shared" si="46"/>
        <v/>
      </c>
      <c r="K608" s="37" t="str">
        <f>IF(A608="","",Inputs!$B$11-B608)</f>
        <v/>
      </c>
      <c r="L608" s="5" t="str">
        <f>IF(A608="","",IF(I608&lt;=0,"Sold out",IF(K608&gt;=Inputs!$B$18,"Dead",IF(K608&gt;=Inputs!$B$17,"Ageing",IF(K608&gt;=Inputs!$B$16,"Watch","Fresh")))))</f>
        <v/>
      </c>
      <c r="M608" s="5" t="str">
        <f t="shared" si="47"/>
        <v/>
      </c>
      <c r="N608" s="12" t="str">
        <f t="shared" si="48"/>
        <v/>
      </c>
      <c r="O608" s="36" t="str">
        <f t="shared" si="49"/>
        <v/>
      </c>
    </row>
    <row r="609" spans="1:15" x14ac:dyDescent="0.25">
      <c r="A609" s="34"/>
      <c r="B609" s="33"/>
      <c r="C609" s="34"/>
      <c r="D609" s="34"/>
      <c r="E609" s="34"/>
      <c r="F609" s="34"/>
      <c r="G609" s="35"/>
      <c r="H609" s="34"/>
      <c r="I609" s="5" t="str">
        <f t="shared" si="45"/>
        <v/>
      </c>
      <c r="J609" s="12" t="str">
        <f t="shared" si="46"/>
        <v/>
      </c>
      <c r="K609" s="37" t="str">
        <f>IF(A609="","",Inputs!$B$11-B609)</f>
        <v/>
      </c>
      <c r="L609" s="5" t="str">
        <f>IF(A609="","",IF(I609&lt;=0,"Sold out",IF(K609&gt;=Inputs!$B$18,"Dead",IF(K609&gt;=Inputs!$B$17,"Ageing",IF(K609&gt;=Inputs!$B$16,"Watch","Fresh")))))</f>
        <v/>
      </c>
      <c r="M609" s="5" t="str">
        <f t="shared" si="47"/>
        <v/>
      </c>
      <c r="N609" s="12" t="str">
        <f t="shared" si="48"/>
        <v/>
      </c>
      <c r="O609" s="36" t="str">
        <f t="shared" si="49"/>
        <v/>
      </c>
    </row>
    <row r="610" spans="1:15" x14ac:dyDescent="0.25">
      <c r="A610" s="34"/>
      <c r="B610" s="33"/>
      <c r="C610" s="34"/>
      <c r="D610" s="34"/>
      <c r="E610" s="34"/>
      <c r="F610" s="34"/>
      <c r="G610" s="35"/>
      <c r="H610" s="34"/>
      <c r="I610" s="5" t="str">
        <f t="shared" si="45"/>
        <v/>
      </c>
      <c r="J610" s="12" t="str">
        <f t="shared" si="46"/>
        <v/>
      </c>
      <c r="K610" s="37" t="str">
        <f>IF(A610="","",Inputs!$B$11-B610)</f>
        <v/>
      </c>
      <c r="L610" s="5" t="str">
        <f>IF(A610="","",IF(I610&lt;=0,"Sold out",IF(K610&gt;=Inputs!$B$18,"Dead",IF(K610&gt;=Inputs!$B$17,"Ageing",IF(K610&gt;=Inputs!$B$16,"Watch","Fresh")))))</f>
        <v/>
      </c>
      <c r="M610" s="5" t="str">
        <f t="shared" si="47"/>
        <v/>
      </c>
      <c r="N610" s="12" t="str">
        <f t="shared" si="48"/>
        <v/>
      </c>
      <c r="O610" s="36" t="str">
        <f t="shared" si="49"/>
        <v/>
      </c>
    </row>
    <row r="611" spans="1:15" x14ac:dyDescent="0.25">
      <c r="A611" s="34"/>
      <c r="B611" s="33"/>
      <c r="C611" s="34"/>
      <c r="D611" s="34"/>
      <c r="E611" s="34"/>
      <c r="F611" s="34"/>
      <c r="G611" s="35"/>
      <c r="H611" s="34"/>
      <c r="I611" s="5" t="str">
        <f t="shared" si="45"/>
        <v/>
      </c>
      <c r="J611" s="12" t="str">
        <f t="shared" si="46"/>
        <v/>
      </c>
      <c r="K611" s="37" t="str">
        <f>IF(A611="","",Inputs!$B$11-B611)</f>
        <v/>
      </c>
      <c r="L611" s="5" t="str">
        <f>IF(A611="","",IF(I611&lt;=0,"Sold out",IF(K611&gt;=Inputs!$B$18,"Dead",IF(K611&gt;=Inputs!$B$17,"Ageing",IF(K611&gt;=Inputs!$B$16,"Watch","Fresh")))))</f>
        <v/>
      </c>
      <c r="M611" s="5" t="str">
        <f t="shared" si="47"/>
        <v/>
      </c>
      <c r="N611" s="12" t="str">
        <f t="shared" si="48"/>
        <v/>
      </c>
      <c r="O611" s="36" t="str">
        <f t="shared" si="49"/>
        <v/>
      </c>
    </row>
    <row r="612" spans="1:15" x14ac:dyDescent="0.25">
      <c r="A612" s="34"/>
      <c r="B612" s="33"/>
      <c r="C612" s="34"/>
      <c r="D612" s="34"/>
      <c r="E612" s="34"/>
      <c r="F612" s="34"/>
      <c r="G612" s="35"/>
      <c r="H612" s="34"/>
      <c r="I612" s="5" t="str">
        <f t="shared" si="45"/>
        <v/>
      </c>
      <c r="J612" s="12" t="str">
        <f t="shared" si="46"/>
        <v/>
      </c>
      <c r="K612" s="37" t="str">
        <f>IF(A612="","",Inputs!$B$11-B612)</f>
        <v/>
      </c>
      <c r="L612" s="5" t="str">
        <f>IF(A612="","",IF(I612&lt;=0,"Sold out",IF(K612&gt;=Inputs!$B$18,"Dead",IF(K612&gt;=Inputs!$B$17,"Ageing",IF(K612&gt;=Inputs!$B$16,"Watch","Fresh")))))</f>
        <v/>
      </c>
      <c r="M612" s="5" t="str">
        <f t="shared" si="47"/>
        <v/>
      </c>
      <c r="N612" s="12" t="str">
        <f t="shared" si="48"/>
        <v/>
      </c>
      <c r="O612" s="36" t="str">
        <f t="shared" si="49"/>
        <v/>
      </c>
    </row>
    <row r="613" spans="1:15" x14ac:dyDescent="0.25">
      <c r="A613" s="34"/>
      <c r="B613" s="33"/>
      <c r="C613" s="34"/>
      <c r="D613" s="34"/>
      <c r="E613" s="34"/>
      <c r="F613" s="34"/>
      <c r="G613" s="35"/>
      <c r="H613" s="34"/>
      <c r="I613" s="5" t="str">
        <f t="shared" si="45"/>
        <v/>
      </c>
      <c r="J613" s="12" t="str">
        <f t="shared" si="46"/>
        <v/>
      </c>
      <c r="K613" s="37" t="str">
        <f>IF(A613="","",Inputs!$B$11-B613)</f>
        <v/>
      </c>
      <c r="L613" s="5" t="str">
        <f>IF(A613="","",IF(I613&lt;=0,"Sold out",IF(K613&gt;=Inputs!$B$18,"Dead",IF(K613&gt;=Inputs!$B$17,"Ageing",IF(K613&gt;=Inputs!$B$16,"Watch","Fresh")))))</f>
        <v/>
      </c>
      <c r="M613" s="5" t="str">
        <f t="shared" si="47"/>
        <v/>
      </c>
      <c r="N613" s="12" t="str">
        <f t="shared" si="48"/>
        <v/>
      </c>
      <c r="O613" s="36" t="str">
        <f t="shared" si="49"/>
        <v/>
      </c>
    </row>
    <row r="614" spans="1:15" x14ac:dyDescent="0.25">
      <c r="A614" s="34"/>
      <c r="B614" s="33"/>
      <c r="C614" s="34"/>
      <c r="D614" s="34"/>
      <c r="E614" s="34"/>
      <c r="F614" s="34"/>
      <c r="G614" s="35"/>
      <c r="H614" s="34"/>
      <c r="I614" s="5" t="str">
        <f t="shared" si="45"/>
        <v/>
      </c>
      <c r="J614" s="12" t="str">
        <f t="shared" si="46"/>
        <v/>
      </c>
      <c r="K614" s="37" t="str">
        <f>IF(A614="","",Inputs!$B$11-B614)</f>
        <v/>
      </c>
      <c r="L614" s="5" t="str">
        <f>IF(A614="","",IF(I614&lt;=0,"Sold out",IF(K614&gt;=Inputs!$B$18,"Dead",IF(K614&gt;=Inputs!$B$17,"Ageing",IF(K614&gt;=Inputs!$B$16,"Watch","Fresh")))))</f>
        <v/>
      </c>
      <c r="M614" s="5" t="str">
        <f t="shared" si="47"/>
        <v/>
      </c>
      <c r="N614" s="12" t="str">
        <f t="shared" si="48"/>
        <v/>
      </c>
      <c r="O614" s="36" t="str">
        <f t="shared" si="49"/>
        <v/>
      </c>
    </row>
    <row r="615" spans="1:15" x14ac:dyDescent="0.25">
      <c r="A615" s="34"/>
      <c r="B615" s="33"/>
      <c r="C615" s="34"/>
      <c r="D615" s="34"/>
      <c r="E615" s="34"/>
      <c r="F615" s="34"/>
      <c r="G615" s="35"/>
      <c r="H615" s="34"/>
      <c r="I615" s="5" t="str">
        <f t="shared" si="45"/>
        <v/>
      </c>
      <c r="J615" s="12" t="str">
        <f t="shared" si="46"/>
        <v/>
      </c>
      <c r="K615" s="37" t="str">
        <f>IF(A615="","",Inputs!$B$11-B615)</f>
        <v/>
      </c>
      <c r="L615" s="5" t="str">
        <f>IF(A615="","",IF(I615&lt;=0,"Sold out",IF(K615&gt;=Inputs!$B$18,"Dead",IF(K615&gt;=Inputs!$B$17,"Ageing",IF(K615&gt;=Inputs!$B$16,"Watch","Fresh")))))</f>
        <v/>
      </c>
      <c r="M615" s="5" t="str">
        <f t="shared" si="47"/>
        <v/>
      </c>
      <c r="N615" s="12" t="str">
        <f t="shared" si="48"/>
        <v/>
      </c>
      <c r="O615" s="36" t="str">
        <f t="shared" si="49"/>
        <v/>
      </c>
    </row>
    <row r="616" spans="1:15" x14ac:dyDescent="0.25">
      <c r="A616" s="34"/>
      <c r="B616" s="33"/>
      <c r="C616" s="34"/>
      <c r="D616" s="34"/>
      <c r="E616" s="34"/>
      <c r="F616" s="34"/>
      <c r="G616" s="35"/>
      <c r="H616" s="34"/>
      <c r="I616" s="5" t="str">
        <f t="shared" si="45"/>
        <v/>
      </c>
      <c r="J616" s="12" t="str">
        <f t="shared" si="46"/>
        <v/>
      </c>
      <c r="K616" s="37" t="str">
        <f>IF(A616="","",Inputs!$B$11-B616)</f>
        <v/>
      </c>
      <c r="L616" s="5" t="str">
        <f>IF(A616="","",IF(I616&lt;=0,"Sold out",IF(K616&gt;=Inputs!$B$18,"Dead",IF(K616&gt;=Inputs!$B$17,"Ageing",IF(K616&gt;=Inputs!$B$16,"Watch","Fresh")))))</f>
        <v/>
      </c>
      <c r="M616" s="5" t="str">
        <f t="shared" si="47"/>
        <v/>
      </c>
      <c r="N616" s="12" t="str">
        <f t="shared" si="48"/>
        <v/>
      </c>
      <c r="O616" s="36" t="str">
        <f t="shared" si="49"/>
        <v/>
      </c>
    </row>
    <row r="617" spans="1:15" x14ac:dyDescent="0.25">
      <c r="A617" s="34"/>
      <c r="B617" s="33"/>
      <c r="C617" s="34"/>
      <c r="D617" s="34"/>
      <c r="E617" s="34"/>
      <c r="F617" s="34"/>
      <c r="G617" s="35"/>
      <c r="H617" s="34"/>
      <c r="I617" s="5" t="str">
        <f t="shared" si="45"/>
        <v/>
      </c>
      <c r="J617" s="12" t="str">
        <f t="shared" si="46"/>
        <v/>
      </c>
      <c r="K617" s="37" t="str">
        <f>IF(A617="","",Inputs!$B$11-B617)</f>
        <v/>
      </c>
      <c r="L617" s="5" t="str">
        <f>IF(A617="","",IF(I617&lt;=0,"Sold out",IF(K617&gt;=Inputs!$B$18,"Dead",IF(K617&gt;=Inputs!$B$17,"Ageing",IF(K617&gt;=Inputs!$B$16,"Watch","Fresh")))))</f>
        <v/>
      </c>
      <c r="M617" s="5" t="str">
        <f t="shared" si="47"/>
        <v/>
      </c>
      <c r="N617" s="12" t="str">
        <f t="shared" si="48"/>
        <v/>
      </c>
      <c r="O617" s="36" t="str">
        <f t="shared" si="49"/>
        <v/>
      </c>
    </row>
    <row r="618" spans="1:15" x14ac:dyDescent="0.25">
      <c r="A618" s="34"/>
      <c r="B618" s="33"/>
      <c r="C618" s="34"/>
      <c r="D618" s="34"/>
      <c r="E618" s="34"/>
      <c r="F618" s="34"/>
      <c r="G618" s="35"/>
      <c r="H618" s="34"/>
      <c r="I618" s="5" t="str">
        <f t="shared" si="45"/>
        <v/>
      </c>
      <c r="J618" s="12" t="str">
        <f t="shared" si="46"/>
        <v/>
      </c>
      <c r="K618" s="37" t="str">
        <f>IF(A618="","",Inputs!$B$11-B618)</f>
        <v/>
      </c>
      <c r="L618" s="5" t="str">
        <f>IF(A618="","",IF(I618&lt;=0,"Sold out",IF(K618&gt;=Inputs!$B$18,"Dead",IF(K618&gt;=Inputs!$B$17,"Ageing",IF(K618&gt;=Inputs!$B$16,"Watch","Fresh")))))</f>
        <v/>
      </c>
      <c r="M618" s="5" t="str">
        <f t="shared" si="47"/>
        <v/>
      </c>
      <c r="N618" s="12" t="str">
        <f t="shared" si="48"/>
        <v/>
      </c>
      <c r="O618" s="36" t="str">
        <f t="shared" si="49"/>
        <v/>
      </c>
    </row>
    <row r="619" spans="1:15" x14ac:dyDescent="0.25">
      <c r="A619" s="34"/>
      <c r="B619" s="33"/>
      <c r="C619" s="34"/>
      <c r="D619" s="34"/>
      <c r="E619" s="34"/>
      <c r="F619" s="34"/>
      <c r="G619" s="35"/>
      <c r="H619" s="34"/>
      <c r="I619" s="5" t="str">
        <f t="shared" si="45"/>
        <v/>
      </c>
      <c r="J619" s="12" t="str">
        <f t="shared" si="46"/>
        <v/>
      </c>
      <c r="K619" s="37" t="str">
        <f>IF(A619="","",Inputs!$B$11-B619)</f>
        <v/>
      </c>
      <c r="L619" s="5" t="str">
        <f>IF(A619="","",IF(I619&lt;=0,"Sold out",IF(K619&gt;=Inputs!$B$18,"Dead",IF(K619&gt;=Inputs!$B$17,"Ageing",IF(K619&gt;=Inputs!$B$16,"Watch","Fresh")))))</f>
        <v/>
      </c>
      <c r="M619" s="5" t="str">
        <f t="shared" si="47"/>
        <v/>
      </c>
      <c r="N619" s="12" t="str">
        <f t="shared" si="48"/>
        <v/>
      </c>
      <c r="O619" s="36" t="str">
        <f t="shared" si="49"/>
        <v/>
      </c>
    </row>
    <row r="620" spans="1:15" x14ac:dyDescent="0.25">
      <c r="A620" s="34"/>
      <c r="B620" s="33"/>
      <c r="C620" s="34"/>
      <c r="D620" s="34"/>
      <c r="E620" s="34"/>
      <c r="F620" s="34"/>
      <c r="G620" s="35"/>
      <c r="H620" s="34"/>
      <c r="I620" s="5" t="str">
        <f t="shared" si="45"/>
        <v/>
      </c>
      <c r="J620" s="12" t="str">
        <f t="shared" si="46"/>
        <v/>
      </c>
      <c r="K620" s="37" t="str">
        <f>IF(A620="","",Inputs!$B$11-B620)</f>
        <v/>
      </c>
      <c r="L620" s="5" t="str">
        <f>IF(A620="","",IF(I620&lt;=0,"Sold out",IF(K620&gt;=Inputs!$B$18,"Dead",IF(K620&gt;=Inputs!$B$17,"Ageing",IF(K620&gt;=Inputs!$B$16,"Watch","Fresh")))))</f>
        <v/>
      </c>
      <c r="M620" s="5" t="str">
        <f t="shared" si="47"/>
        <v/>
      </c>
      <c r="N620" s="12" t="str">
        <f t="shared" si="48"/>
        <v/>
      </c>
      <c r="O620" s="36" t="str">
        <f t="shared" si="49"/>
        <v/>
      </c>
    </row>
    <row r="621" spans="1:15" x14ac:dyDescent="0.25">
      <c r="A621" s="34"/>
      <c r="B621" s="33"/>
      <c r="C621" s="34"/>
      <c r="D621" s="34"/>
      <c r="E621" s="34"/>
      <c r="F621" s="34"/>
      <c r="G621" s="35"/>
      <c r="H621" s="34"/>
      <c r="I621" s="5" t="str">
        <f t="shared" si="45"/>
        <v/>
      </c>
      <c r="J621" s="12" t="str">
        <f t="shared" si="46"/>
        <v/>
      </c>
      <c r="K621" s="37" t="str">
        <f>IF(A621="","",Inputs!$B$11-B621)</f>
        <v/>
      </c>
      <c r="L621" s="5" t="str">
        <f>IF(A621="","",IF(I621&lt;=0,"Sold out",IF(K621&gt;=Inputs!$B$18,"Dead",IF(K621&gt;=Inputs!$B$17,"Ageing",IF(K621&gt;=Inputs!$B$16,"Watch","Fresh")))))</f>
        <v/>
      </c>
      <c r="M621" s="5" t="str">
        <f t="shared" si="47"/>
        <v/>
      </c>
      <c r="N621" s="12" t="str">
        <f t="shared" si="48"/>
        <v/>
      </c>
      <c r="O621" s="36" t="str">
        <f t="shared" si="49"/>
        <v/>
      </c>
    </row>
    <row r="622" spans="1:15" x14ac:dyDescent="0.25">
      <c r="A622" s="34"/>
      <c r="B622" s="33"/>
      <c r="C622" s="34"/>
      <c r="D622" s="34"/>
      <c r="E622" s="34"/>
      <c r="F622" s="34"/>
      <c r="G622" s="35"/>
      <c r="H622" s="34"/>
      <c r="I622" s="5" t="str">
        <f t="shared" si="45"/>
        <v/>
      </c>
      <c r="J622" s="12" t="str">
        <f t="shared" si="46"/>
        <v/>
      </c>
      <c r="K622" s="37" t="str">
        <f>IF(A622="","",Inputs!$B$11-B622)</f>
        <v/>
      </c>
      <c r="L622" s="5" t="str">
        <f>IF(A622="","",IF(I622&lt;=0,"Sold out",IF(K622&gt;=Inputs!$B$18,"Dead",IF(K622&gt;=Inputs!$B$17,"Ageing",IF(K622&gt;=Inputs!$B$16,"Watch","Fresh")))))</f>
        <v/>
      </c>
      <c r="M622" s="5" t="str">
        <f t="shared" si="47"/>
        <v/>
      </c>
      <c r="N622" s="12" t="str">
        <f t="shared" si="48"/>
        <v/>
      </c>
      <c r="O622" s="36" t="str">
        <f t="shared" si="49"/>
        <v/>
      </c>
    </row>
    <row r="623" spans="1:15" x14ac:dyDescent="0.25">
      <c r="A623" s="34"/>
      <c r="B623" s="33"/>
      <c r="C623" s="34"/>
      <c r="D623" s="34"/>
      <c r="E623" s="34"/>
      <c r="F623" s="34"/>
      <c r="G623" s="35"/>
      <c r="H623" s="34"/>
      <c r="I623" s="5" t="str">
        <f t="shared" si="45"/>
        <v/>
      </c>
      <c r="J623" s="12" t="str">
        <f t="shared" si="46"/>
        <v/>
      </c>
      <c r="K623" s="37" t="str">
        <f>IF(A623="","",Inputs!$B$11-B623)</f>
        <v/>
      </c>
      <c r="L623" s="5" t="str">
        <f>IF(A623="","",IF(I623&lt;=0,"Sold out",IF(K623&gt;=Inputs!$B$18,"Dead",IF(K623&gt;=Inputs!$B$17,"Ageing",IF(K623&gt;=Inputs!$B$16,"Watch","Fresh")))))</f>
        <v/>
      </c>
      <c r="M623" s="5" t="str">
        <f t="shared" si="47"/>
        <v/>
      </c>
      <c r="N623" s="12" t="str">
        <f t="shared" si="48"/>
        <v/>
      </c>
      <c r="O623" s="36" t="str">
        <f t="shared" si="49"/>
        <v/>
      </c>
    </row>
    <row r="624" spans="1:15" x14ac:dyDescent="0.25">
      <c r="A624" s="34"/>
      <c r="B624" s="33"/>
      <c r="C624" s="34"/>
      <c r="D624" s="34"/>
      <c r="E624" s="34"/>
      <c r="F624" s="34"/>
      <c r="G624" s="35"/>
      <c r="H624" s="34"/>
      <c r="I624" s="5" t="str">
        <f t="shared" si="45"/>
        <v/>
      </c>
      <c r="J624" s="12" t="str">
        <f t="shared" si="46"/>
        <v/>
      </c>
      <c r="K624" s="37" t="str">
        <f>IF(A624="","",Inputs!$B$11-B624)</f>
        <v/>
      </c>
      <c r="L624" s="5" t="str">
        <f>IF(A624="","",IF(I624&lt;=0,"Sold out",IF(K624&gt;=Inputs!$B$18,"Dead",IF(K624&gt;=Inputs!$B$17,"Ageing",IF(K624&gt;=Inputs!$B$16,"Watch","Fresh")))))</f>
        <v/>
      </c>
      <c r="M624" s="5" t="str">
        <f t="shared" si="47"/>
        <v/>
      </c>
      <c r="N624" s="12" t="str">
        <f t="shared" si="48"/>
        <v/>
      </c>
      <c r="O624" s="36" t="str">
        <f t="shared" si="49"/>
        <v/>
      </c>
    </row>
    <row r="625" spans="1:15" x14ac:dyDescent="0.25">
      <c r="A625" s="34"/>
      <c r="B625" s="33"/>
      <c r="C625" s="34"/>
      <c r="D625" s="34"/>
      <c r="E625" s="34"/>
      <c r="F625" s="34"/>
      <c r="G625" s="35"/>
      <c r="H625" s="34"/>
      <c r="I625" s="5" t="str">
        <f t="shared" si="45"/>
        <v/>
      </c>
      <c r="J625" s="12" t="str">
        <f t="shared" si="46"/>
        <v/>
      </c>
      <c r="K625" s="37" t="str">
        <f>IF(A625="","",Inputs!$B$11-B625)</f>
        <v/>
      </c>
      <c r="L625" s="5" t="str">
        <f>IF(A625="","",IF(I625&lt;=0,"Sold out",IF(K625&gt;=Inputs!$B$18,"Dead",IF(K625&gt;=Inputs!$B$17,"Ageing",IF(K625&gt;=Inputs!$B$16,"Watch","Fresh")))))</f>
        <v/>
      </c>
      <c r="M625" s="5" t="str">
        <f t="shared" si="47"/>
        <v/>
      </c>
      <c r="N625" s="12" t="str">
        <f t="shared" si="48"/>
        <v/>
      </c>
      <c r="O625" s="36" t="str">
        <f t="shared" si="49"/>
        <v/>
      </c>
    </row>
    <row r="626" spans="1:15" x14ac:dyDescent="0.25">
      <c r="A626" s="34"/>
      <c r="B626" s="33"/>
      <c r="C626" s="34"/>
      <c r="D626" s="34"/>
      <c r="E626" s="34"/>
      <c r="F626" s="34"/>
      <c r="G626" s="35"/>
      <c r="H626" s="34"/>
      <c r="I626" s="5" t="str">
        <f t="shared" si="45"/>
        <v/>
      </c>
      <c r="J626" s="12" t="str">
        <f t="shared" si="46"/>
        <v/>
      </c>
      <c r="K626" s="37" t="str">
        <f>IF(A626="","",Inputs!$B$11-B626)</f>
        <v/>
      </c>
      <c r="L626" s="5" t="str">
        <f>IF(A626="","",IF(I626&lt;=0,"Sold out",IF(K626&gt;=Inputs!$B$18,"Dead",IF(K626&gt;=Inputs!$B$17,"Ageing",IF(K626&gt;=Inputs!$B$16,"Watch","Fresh")))))</f>
        <v/>
      </c>
      <c r="M626" s="5" t="str">
        <f t="shared" si="47"/>
        <v/>
      </c>
      <c r="N626" s="12" t="str">
        <f t="shared" si="48"/>
        <v/>
      </c>
      <c r="O626" s="36" t="str">
        <f t="shared" si="49"/>
        <v/>
      </c>
    </row>
    <row r="627" spans="1:15" x14ac:dyDescent="0.25">
      <c r="A627" s="34"/>
      <c r="B627" s="33"/>
      <c r="C627" s="34"/>
      <c r="D627" s="34"/>
      <c r="E627" s="34"/>
      <c r="F627" s="34"/>
      <c r="G627" s="35"/>
      <c r="H627" s="34"/>
      <c r="I627" s="5" t="str">
        <f t="shared" si="45"/>
        <v/>
      </c>
      <c r="J627" s="12" t="str">
        <f t="shared" si="46"/>
        <v/>
      </c>
      <c r="K627" s="37" t="str">
        <f>IF(A627="","",Inputs!$B$11-B627)</f>
        <v/>
      </c>
      <c r="L627" s="5" t="str">
        <f>IF(A627="","",IF(I627&lt;=0,"Sold out",IF(K627&gt;=Inputs!$B$18,"Dead",IF(K627&gt;=Inputs!$B$17,"Ageing",IF(K627&gt;=Inputs!$B$16,"Watch","Fresh")))))</f>
        <v/>
      </c>
      <c r="M627" s="5" t="str">
        <f t="shared" si="47"/>
        <v/>
      </c>
      <c r="N627" s="12" t="str">
        <f t="shared" si="48"/>
        <v/>
      </c>
      <c r="O627" s="36" t="str">
        <f t="shared" si="49"/>
        <v/>
      </c>
    </row>
    <row r="628" spans="1:15" x14ac:dyDescent="0.25">
      <c r="A628" s="34"/>
      <c r="B628" s="33"/>
      <c r="C628" s="34"/>
      <c r="D628" s="34"/>
      <c r="E628" s="34"/>
      <c r="F628" s="34"/>
      <c r="G628" s="35"/>
      <c r="H628" s="34"/>
      <c r="I628" s="5" t="str">
        <f t="shared" si="45"/>
        <v/>
      </c>
      <c r="J628" s="12" t="str">
        <f t="shared" si="46"/>
        <v/>
      </c>
      <c r="K628" s="37" t="str">
        <f>IF(A628="","",Inputs!$B$11-B628)</f>
        <v/>
      </c>
      <c r="L628" s="5" t="str">
        <f>IF(A628="","",IF(I628&lt;=0,"Sold out",IF(K628&gt;=Inputs!$B$18,"Dead",IF(K628&gt;=Inputs!$B$17,"Ageing",IF(K628&gt;=Inputs!$B$16,"Watch","Fresh")))))</f>
        <v/>
      </c>
      <c r="M628" s="5" t="str">
        <f t="shared" si="47"/>
        <v/>
      </c>
      <c r="N628" s="12" t="str">
        <f t="shared" si="48"/>
        <v/>
      </c>
      <c r="O628" s="36" t="str">
        <f t="shared" si="49"/>
        <v/>
      </c>
    </row>
    <row r="629" spans="1:15" x14ac:dyDescent="0.25">
      <c r="A629" s="34"/>
      <c r="B629" s="33"/>
      <c r="C629" s="34"/>
      <c r="D629" s="34"/>
      <c r="E629" s="34"/>
      <c r="F629" s="34"/>
      <c r="G629" s="35"/>
      <c r="H629" s="34"/>
      <c r="I629" s="5" t="str">
        <f t="shared" si="45"/>
        <v/>
      </c>
      <c r="J629" s="12" t="str">
        <f t="shared" si="46"/>
        <v/>
      </c>
      <c r="K629" s="37" t="str">
        <f>IF(A629="","",Inputs!$B$11-B629)</f>
        <v/>
      </c>
      <c r="L629" s="5" t="str">
        <f>IF(A629="","",IF(I629&lt;=0,"Sold out",IF(K629&gt;=Inputs!$B$18,"Dead",IF(K629&gt;=Inputs!$B$17,"Ageing",IF(K629&gt;=Inputs!$B$16,"Watch","Fresh")))))</f>
        <v/>
      </c>
      <c r="M629" s="5" t="str">
        <f t="shared" si="47"/>
        <v/>
      </c>
      <c r="N629" s="12" t="str">
        <f t="shared" si="48"/>
        <v/>
      </c>
      <c r="O629" s="36" t="str">
        <f t="shared" si="49"/>
        <v/>
      </c>
    </row>
    <row r="630" spans="1:15" x14ac:dyDescent="0.25">
      <c r="A630" s="34"/>
      <c r="B630" s="33"/>
      <c r="C630" s="34"/>
      <c r="D630" s="34"/>
      <c r="E630" s="34"/>
      <c r="F630" s="34"/>
      <c r="G630" s="35"/>
      <c r="H630" s="34"/>
      <c r="I630" s="5" t="str">
        <f t="shared" si="45"/>
        <v/>
      </c>
      <c r="J630" s="12" t="str">
        <f t="shared" si="46"/>
        <v/>
      </c>
      <c r="K630" s="37" t="str">
        <f>IF(A630="","",Inputs!$B$11-B630)</f>
        <v/>
      </c>
      <c r="L630" s="5" t="str">
        <f>IF(A630="","",IF(I630&lt;=0,"Sold out",IF(K630&gt;=Inputs!$B$18,"Dead",IF(K630&gt;=Inputs!$B$17,"Ageing",IF(K630&gt;=Inputs!$B$16,"Watch","Fresh")))))</f>
        <v/>
      </c>
      <c r="M630" s="5" t="str">
        <f t="shared" si="47"/>
        <v/>
      </c>
      <c r="N630" s="12" t="str">
        <f t="shared" si="48"/>
        <v/>
      </c>
      <c r="O630" s="36" t="str">
        <f t="shared" si="49"/>
        <v/>
      </c>
    </row>
    <row r="631" spans="1:15" x14ac:dyDescent="0.25">
      <c r="A631" s="34"/>
      <c r="B631" s="33"/>
      <c r="C631" s="34"/>
      <c r="D631" s="34"/>
      <c r="E631" s="34"/>
      <c r="F631" s="34"/>
      <c r="G631" s="35"/>
      <c r="H631" s="34"/>
      <c r="I631" s="5" t="str">
        <f t="shared" si="45"/>
        <v/>
      </c>
      <c r="J631" s="12" t="str">
        <f t="shared" si="46"/>
        <v/>
      </c>
      <c r="K631" s="37" t="str">
        <f>IF(A631="","",Inputs!$B$11-B631)</f>
        <v/>
      </c>
      <c r="L631" s="5" t="str">
        <f>IF(A631="","",IF(I631&lt;=0,"Sold out",IF(K631&gt;=Inputs!$B$18,"Dead",IF(K631&gt;=Inputs!$B$17,"Ageing",IF(K631&gt;=Inputs!$B$16,"Watch","Fresh")))))</f>
        <v/>
      </c>
      <c r="M631" s="5" t="str">
        <f t="shared" si="47"/>
        <v/>
      </c>
      <c r="N631" s="12" t="str">
        <f t="shared" si="48"/>
        <v/>
      </c>
      <c r="O631" s="36" t="str">
        <f t="shared" si="49"/>
        <v/>
      </c>
    </row>
    <row r="632" spans="1:15" x14ac:dyDescent="0.25">
      <c r="A632" s="34"/>
      <c r="B632" s="33"/>
      <c r="C632" s="34"/>
      <c r="D632" s="34"/>
      <c r="E632" s="34"/>
      <c r="F632" s="34"/>
      <c r="G632" s="35"/>
      <c r="H632" s="34"/>
      <c r="I632" s="5" t="str">
        <f t="shared" si="45"/>
        <v/>
      </c>
      <c r="J632" s="12" t="str">
        <f t="shared" si="46"/>
        <v/>
      </c>
      <c r="K632" s="37" t="str">
        <f>IF(A632="","",Inputs!$B$11-B632)</f>
        <v/>
      </c>
      <c r="L632" s="5" t="str">
        <f>IF(A632="","",IF(I632&lt;=0,"Sold out",IF(K632&gt;=Inputs!$B$18,"Dead",IF(K632&gt;=Inputs!$B$17,"Ageing",IF(K632&gt;=Inputs!$B$16,"Watch","Fresh")))))</f>
        <v/>
      </c>
      <c r="M632" s="5" t="str">
        <f t="shared" si="47"/>
        <v/>
      </c>
      <c r="N632" s="12" t="str">
        <f t="shared" si="48"/>
        <v/>
      </c>
      <c r="O632" s="36" t="str">
        <f t="shared" si="49"/>
        <v/>
      </c>
    </row>
    <row r="633" spans="1:15" x14ac:dyDescent="0.25">
      <c r="A633" s="34"/>
      <c r="B633" s="33"/>
      <c r="C633" s="34"/>
      <c r="D633" s="34"/>
      <c r="E633" s="34"/>
      <c r="F633" s="34"/>
      <c r="G633" s="35"/>
      <c r="H633" s="34"/>
      <c r="I633" s="5" t="str">
        <f t="shared" si="45"/>
        <v/>
      </c>
      <c r="J633" s="12" t="str">
        <f t="shared" si="46"/>
        <v/>
      </c>
      <c r="K633" s="37" t="str">
        <f>IF(A633="","",Inputs!$B$11-B633)</f>
        <v/>
      </c>
      <c r="L633" s="5" t="str">
        <f>IF(A633="","",IF(I633&lt;=0,"Sold out",IF(K633&gt;=Inputs!$B$18,"Dead",IF(K633&gt;=Inputs!$B$17,"Ageing",IF(K633&gt;=Inputs!$B$16,"Watch","Fresh")))))</f>
        <v/>
      </c>
      <c r="M633" s="5" t="str">
        <f t="shared" si="47"/>
        <v/>
      </c>
      <c r="N633" s="12" t="str">
        <f t="shared" si="48"/>
        <v/>
      </c>
      <c r="O633" s="36" t="str">
        <f t="shared" si="49"/>
        <v/>
      </c>
    </row>
    <row r="634" spans="1:15" x14ac:dyDescent="0.25">
      <c r="A634" s="34"/>
      <c r="B634" s="33"/>
      <c r="C634" s="34"/>
      <c r="D634" s="34"/>
      <c r="E634" s="34"/>
      <c r="F634" s="34"/>
      <c r="G634" s="35"/>
      <c r="H634" s="34"/>
      <c r="I634" s="5" t="str">
        <f t="shared" si="45"/>
        <v/>
      </c>
      <c r="J634" s="12" t="str">
        <f t="shared" si="46"/>
        <v/>
      </c>
      <c r="K634" s="37" t="str">
        <f>IF(A634="","",Inputs!$B$11-B634)</f>
        <v/>
      </c>
      <c r="L634" s="5" t="str">
        <f>IF(A634="","",IF(I634&lt;=0,"Sold out",IF(K634&gt;=Inputs!$B$18,"Dead",IF(K634&gt;=Inputs!$B$17,"Ageing",IF(K634&gt;=Inputs!$B$16,"Watch","Fresh")))))</f>
        <v/>
      </c>
      <c r="M634" s="5" t="str">
        <f t="shared" si="47"/>
        <v/>
      </c>
      <c r="N634" s="12" t="str">
        <f t="shared" si="48"/>
        <v/>
      </c>
      <c r="O634" s="36" t="str">
        <f t="shared" si="49"/>
        <v/>
      </c>
    </row>
    <row r="635" spans="1:15" x14ac:dyDescent="0.25">
      <c r="A635" s="34"/>
      <c r="B635" s="33"/>
      <c r="C635" s="34"/>
      <c r="D635" s="34"/>
      <c r="E635" s="34"/>
      <c r="F635" s="34"/>
      <c r="G635" s="35"/>
      <c r="H635" s="34"/>
      <c r="I635" s="5" t="str">
        <f t="shared" si="45"/>
        <v/>
      </c>
      <c r="J635" s="12" t="str">
        <f t="shared" si="46"/>
        <v/>
      </c>
      <c r="K635" s="37" t="str">
        <f>IF(A635="","",Inputs!$B$11-B635)</f>
        <v/>
      </c>
      <c r="L635" s="5" t="str">
        <f>IF(A635="","",IF(I635&lt;=0,"Sold out",IF(K635&gt;=Inputs!$B$18,"Dead",IF(K635&gt;=Inputs!$B$17,"Ageing",IF(K635&gt;=Inputs!$B$16,"Watch","Fresh")))))</f>
        <v/>
      </c>
      <c r="M635" s="5" t="str">
        <f t="shared" si="47"/>
        <v/>
      </c>
      <c r="N635" s="12" t="str">
        <f t="shared" si="48"/>
        <v/>
      </c>
      <c r="O635" s="36" t="str">
        <f t="shared" si="49"/>
        <v/>
      </c>
    </row>
    <row r="636" spans="1:15" x14ac:dyDescent="0.25">
      <c r="A636" s="34"/>
      <c r="B636" s="33"/>
      <c r="C636" s="34"/>
      <c r="D636" s="34"/>
      <c r="E636" s="34"/>
      <c r="F636" s="34"/>
      <c r="G636" s="35"/>
      <c r="H636" s="34"/>
      <c r="I636" s="5" t="str">
        <f t="shared" si="45"/>
        <v/>
      </c>
      <c r="J636" s="12" t="str">
        <f t="shared" si="46"/>
        <v/>
      </c>
      <c r="K636" s="37" t="str">
        <f>IF(A636="","",Inputs!$B$11-B636)</f>
        <v/>
      </c>
      <c r="L636" s="5" t="str">
        <f>IF(A636="","",IF(I636&lt;=0,"Sold out",IF(K636&gt;=Inputs!$B$18,"Dead",IF(K636&gt;=Inputs!$B$17,"Ageing",IF(K636&gt;=Inputs!$B$16,"Watch","Fresh")))))</f>
        <v/>
      </c>
      <c r="M636" s="5" t="str">
        <f t="shared" si="47"/>
        <v/>
      </c>
      <c r="N636" s="12" t="str">
        <f t="shared" si="48"/>
        <v/>
      </c>
      <c r="O636" s="36" t="str">
        <f t="shared" si="49"/>
        <v/>
      </c>
    </row>
    <row r="637" spans="1:15" x14ac:dyDescent="0.25">
      <c r="A637" s="34"/>
      <c r="B637" s="33"/>
      <c r="C637" s="34"/>
      <c r="D637" s="34"/>
      <c r="E637" s="34"/>
      <c r="F637" s="34"/>
      <c r="G637" s="35"/>
      <c r="H637" s="34"/>
      <c r="I637" s="5" t="str">
        <f t="shared" si="45"/>
        <v/>
      </c>
      <c r="J637" s="12" t="str">
        <f t="shared" si="46"/>
        <v/>
      </c>
      <c r="K637" s="37" t="str">
        <f>IF(A637="","",Inputs!$B$11-B637)</f>
        <v/>
      </c>
      <c r="L637" s="5" t="str">
        <f>IF(A637="","",IF(I637&lt;=0,"Sold out",IF(K637&gt;=Inputs!$B$18,"Dead",IF(K637&gt;=Inputs!$B$17,"Ageing",IF(K637&gt;=Inputs!$B$16,"Watch","Fresh")))))</f>
        <v/>
      </c>
      <c r="M637" s="5" t="str">
        <f t="shared" si="47"/>
        <v/>
      </c>
      <c r="N637" s="12" t="str">
        <f t="shared" si="48"/>
        <v/>
      </c>
      <c r="O637" s="36" t="str">
        <f t="shared" si="49"/>
        <v/>
      </c>
    </row>
    <row r="638" spans="1:15" x14ac:dyDescent="0.25">
      <c r="A638" s="34"/>
      <c r="B638" s="33"/>
      <c r="C638" s="34"/>
      <c r="D638" s="34"/>
      <c r="E638" s="34"/>
      <c r="F638" s="34"/>
      <c r="G638" s="35"/>
      <c r="H638" s="34"/>
      <c r="I638" s="5" t="str">
        <f t="shared" si="45"/>
        <v/>
      </c>
      <c r="J638" s="12" t="str">
        <f t="shared" si="46"/>
        <v/>
      </c>
      <c r="K638" s="37" t="str">
        <f>IF(A638="","",Inputs!$B$11-B638)</f>
        <v/>
      </c>
      <c r="L638" s="5" t="str">
        <f>IF(A638="","",IF(I638&lt;=0,"Sold out",IF(K638&gt;=Inputs!$B$18,"Dead",IF(K638&gt;=Inputs!$B$17,"Ageing",IF(K638&gt;=Inputs!$B$16,"Watch","Fresh")))))</f>
        <v/>
      </c>
      <c r="M638" s="5" t="str">
        <f t="shared" si="47"/>
        <v/>
      </c>
      <c r="N638" s="12" t="str">
        <f t="shared" si="48"/>
        <v/>
      </c>
      <c r="O638" s="36" t="str">
        <f t="shared" si="49"/>
        <v/>
      </c>
    </row>
    <row r="639" spans="1:15" x14ac:dyDescent="0.25">
      <c r="A639" s="34"/>
      <c r="B639" s="33"/>
      <c r="C639" s="34"/>
      <c r="D639" s="34"/>
      <c r="E639" s="34"/>
      <c r="F639" s="34"/>
      <c r="G639" s="35"/>
      <c r="H639" s="34"/>
      <c r="I639" s="5" t="str">
        <f t="shared" si="45"/>
        <v/>
      </c>
      <c r="J639" s="12" t="str">
        <f t="shared" si="46"/>
        <v/>
      </c>
      <c r="K639" s="37" t="str">
        <f>IF(A639="","",Inputs!$B$11-B639)</f>
        <v/>
      </c>
      <c r="L639" s="5" t="str">
        <f>IF(A639="","",IF(I639&lt;=0,"Sold out",IF(K639&gt;=Inputs!$B$18,"Dead",IF(K639&gt;=Inputs!$B$17,"Ageing",IF(K639&gt;=Inputs!$B$16,"Watch","Fresh")))))</f>
        <v/>
      </c>
      <c r="M639" s="5" t="str">
        <f t="shared" si="47"/>
        <v/>
      </c>
      <c r="N639" s="12" t="str">
        <f t="shared" si="48"/>
        <v/>
      </c>
      <c r="O639" s="36" t="str">
        <f t="shared" si="49"/>
        <v/>
      </c>
    </row>
    <row r="640" spans="1:15" x14ac:dyDescent="0.25">
      <c r="A640" s="34"/>
      <c r="B640" s="33"/>
      <c r="C640" s="34"/>
      <c r="D640" s="34"/>
      <c r="E640" s="34"/>
      <c r="F640" s="34"/>
      <c r="G640" s="35"/>
      <c r="H640" s="34"/>
      <c r="I640" s="5" t="str">
        <f t="shared" si="45"/>
        <v/>
      </c>
      <c r="J640" s="12" t="str">
        <f t="shared" si="46"/>
        <v/>
      </c>
      <c r="K640" s="37" t="str">
        <f>IF(A640="","",Inputs!$B$11-B640)</f>
        <v/>
      </c>
      <c r="L640" s="5" t="str">
        <f>IF(A640="","",IF(I640&lt;=0,"Sold out",IF(K640&gt;=Inputs!$B$18,"Dead",IF(K640&gt;=Inputs!$B$17,"Ageing",IF(K640&gt;=Inputs!$B$16,"Watch","Fresh")))))</f>
        <v/>
      </c>
      <c r="M640" s="5" t="str">
        <f t="shared" si="47"/>
        <v/>
      </c>
      <c r="N640" s="12" t="str">
        <f t="shared" si="48"/>
        <v/>
      </c>
      <c r="O640" s="36" t="str">
        <f t="shared" si="49"/>
        <v/>
      </c>
    </row>
    <row r="641" spans="1:15" x14ac:dyDescent="0.25">
      <c r="A641" s="34"/>
      <c r="B641" s="33"/>
      <c r="C641" s="34"/>
      <c r="D641" s="34"/>
      <c r="E641" s="34"/>
      <c r="F641" s="34"/>
      <c r="G641" s="35"/>
      <c r="H641" s="34"/>
      <c r="I641" s="5" t="str">
        <f t="shared" si="45"/>
        <v/>
      </c>
      <c r="J641" s="12" t="str">
        <f t="shared" si="46"/>
        <v/>
      </c>
      <c r="K641" s="37" t="str">
        <f>IF(A641="","",Inputs!$B$11-B641)</f>
        <v/>
      </c>
      <c r="L641" s="5" t="str">
        <f>IF(A641="","",IF(I641&lt;=0,"Sold out",IF(K641&gt;=Inputs!$B$18,"Dead",IF(K641&gt;=Inputs!$B$17,"Ageing",IF(K641&gt;=Inputs!$B$16,"Watch","Fresh")))))</f>
        <v/>
      </c>
      <c r="M641" s="5" t="str">
        <f t="shared" si="47"/>
        <v/>
      </c>
      <c r="N641" s="12" t="str">
        <f t="shared" si="48"/>
        <v/>
      </c>
      <c r="O641" s="36" t="str">
        <f t="shared" si="49"/>
        <v/>
      </c>
    </row>
    <row r="642" spans="1:15" x14ac:dyDescent="0.25">
      <c r="A642" s="34"/>
      <c r="B642" s="33"/>
      <c r="C642" s="34"/>
      <c r="D642" s="34"/>
      <c r="E642" s="34"/>
      <c r="F642" s="34"/>
      <c r="G642" s="35"/>
      <c r="H642" s="34"/>
      <c r="I642" s="5" t="str">
        <f t="shared" si="45"/>
        <v/>
      </c>
      <c r="J642" s="12" t="str">
        <f t="shared" si="46"/>
        <v/>
      </c>
      <c r="K642" s="37" t="str">
        <f>IF(A642="","",Inputs!$B$11-B642)</f>
        <v/>
      </c>
      <c r="L642" s="5" t="str">
        <f>IF(A642="","",IF(I642&lt;=0,"Sold out",IF(K642&gt;=Inputs!$B$18,"Dead",IF(K642&gt;=Inputs!$B$17,"Ageing",IF(K642&gt;=Inputs!$B$16,"Watch","Fresh")))))</f>
        <v/>
      </c>
      <c r="M642" s="5" t="str">
        <f t="shared" si="47"/>
        <v/>
      </c>
      <c r="N642" s="12" t="str">
        <f t="shared" si="48"/>
        <v/>
      </c>
      <c r="O642" s="36" t="str">
        <f t="shared" si="49"/>
        <v/>
      </c>
    </row>
    <row r="643" spans="1:15" x14ac:dyDescent="0.25">
      <c r="A643" s="34"/>
      <c r="B643" s="33"/>
      <c r="C643" s="34"/>
      <c r="D643" s="34"/>
      <c r="E643" s="34"/>
      <c r="F643" s="34"/>
      <c r="G643" s="35"/>
      <c r="H643" s="34"/>
      <c r="I643" s="5" t="str">
        <f t="shared" si="45"/>
        <v/>
      </c>
      <c r="J643" s="12" t="str">
        <f t="shared" si="46"/>
        <v/>
      </c>
      <c r="K643" s="37" t="str">
        <f>IF(A643="","",Inputs!$B$11-B643)</f>
        <v/>
      </c>
      <c r="L643" s="5" t="str">
        <f>IF(A643="","",IF(I643&lt;=0,"Sold out",IF(K643&gt;=Inputs!$B$18,"Dead",IF(K643&gt;=Inputs!$B$17,"Ageing",IF(K643&gt;=Inputs!$B$16,"Watch","Fresh")))))</f>
        <v/>
      </c>
      <c r="M643" s="5" t="str">
        <f t="shared" si="47"/>
        <v/>
      </c>
      <c r="N643" s="12" t="str">
        <f t="shared" si="48"/>
        <v/>
      </c>
      <c r="O643" s="36" t="str">
        <f t="shared" si="49"/>
        <v/>
      </c>
    </row>
    <row r="644" spans="1:15" x14ac:dyDescent="0.25">
      <c r="A644" s="34"/>
      <c r="B644" s="33"/>
      <c r="C644" s="34"/>
      <c r="D644" s="34"/>
      <c r="E644" s="34"/>
      <c r="F644" s="34"/>
      <c r="G644" s="35"/>
      <c r="H644" s="34"/>
      <c r="I644" s="5" t="str">
        <f t="shared" si="45"/>
        <v/>
      </c>
      <c r="J644" s="12" t="str">
        <f t="shared" si="46"/>
        <v/>
      </c>
      <c r="K644" s="37" t="str">
        <f>IF(A644="","",Inputs!$B$11-B644)</f>
        <v/>
      </c>
      <c r="L644" s="5" t="str">
        <f>IF(A644="","",IF(I644&lt;=0,"Sold out",IF(K644&gt;=Inputs!$B$18,"Dead",IF(K644&gt;=Inputs!$B$17,"Ageing",IF(K644&gt;=Inputs!$B$16,"Watch","Fresh")))))</f>
        <v/>
      </c>
      <c r="M644" s="5" t="str">
        <f t="shared" si="47"/>
        <v/>
      </c>
      <c r="N644" s="12" t="str">
        <f t="shared" si="48"/>
        <v/>
      </c>
      <c r="O644" s="36" t="str">
        <f t="shared" si="49"/>
        <v/>
      </c>
    </row>
    <row r="645" spans="1:15" x14ac:dyDescent="0.25">
      <c r="A645" s="34"/>
      <c r="B645" s="33"/>
      <c r="C645" s="34"/>
      <c r="D645" s="34"/>
      <c r="E645" s="34"/>
      <c r="F645" s="34"/>
      <c r="G645" s="35"/>
      <c r="H645" s="34"/>
      <c r="I645" s="5" t="str">
        <f t="shared" si="45"/>
        <v/>
      </c>
      <c r="J645" s="12" t="str">
        <f t="shared" si="46"/>
        <v/>
      </c>
      <c r="K645" s="37" t="str">
        <f>IF(A645="","",Inputs!$B$11-B645)</f>
        <v/>
      </c>
      <c r="L645" s="5" t="str">
        <f>IF(A645="","",IF(I645&lt;=0,"Sold out",IF(K645&gt;=Inputs!$B$18,"Dead",IF(K645&gt;=Inputs!$B$17,"Ageing",IF(K645&gt;=Inputs!$B$16,"Watch","Fresh")))))</f>
        <v/>
      </c>
      <c r="M645" s="5" t="str">
        <f t="shared" si="47"/>
        <v/>
      </c>
      <c r="N645" s="12" t="str">
        <f t="shared" si="48"/>
        <v/>
      </c>
      <c r="O645" s="36" t="str">
        <f t="shared" si="49"/>
        <v/>
      </c>
    </row>
    <row r="646" spans="1:15" x14ac:dyDescent="0.25">
      <c r="A646" s="34"/>
      <c r="B646" s="33"/>
      <c r="C646" s="34"/>
      <c r="D646" s="34"/>
      <c r="E646" s="34"/>
      <c r="F646" s="34"/>
      <c r="G646" s="35"/>
      <c r="H646" s="34"/>
      <c r="I646" s="5" t="str">
        <f t="shared" ref="I646:I709" si="50">IF(A646="","",F646-H646)</f>
        <v/>
      </c>
      <c r="J646" s="12" t="str">
        <f t="shared" ref="J646:J709" si="51">IF(A646="","",I646*G646)</f>
        <v/>
      </c>
      <c r="K646" s="37" t="str">
        <f>IF(A646="","",Inputs!$B$11-B646)</f>
        <v/>
      </c>
      <c r="L646" s="5" t="str">
        <f>IF(A646="","",IF(I646&lt;=0,"Sold out",IF(K646&gt;=Inputs!$B$18,"Dead",IF(K646&gt;=Inputs!$B$17,"Ageing",IF(K646&gt;=Inputs!$B$16,"Watch","Fresh")))))</f>
        <v/>
      </c>
      <c r="M646" s="5" t="str">
        <f t="shared" ref="M646:M709" si="52">IF(L646="","",IF(L646="Dead","Clearance / exchange with vendor",IF(L646="Ageing","Markdown 20-30%",IF(L646="Watch","Push in reels &amp; WhatsApp broadcast",IF(L646="Fresh","OK","-")))))</f>
        <v/>
      </c>
      <c r="N646" s="12" t="str">
        <f t="shared" ref="N646:N709" si="53">IF(A646="","",F646*G646)</f>
        <v/>
      </c>
      <c r="O646" s="36" t="str">
        <f t="shared" ref="O646:O709" si="54">IF(B646="","",DATE(YEAR(B646),MONTH(B646),1))</f>
        <v/>
      </c>
    </row>
    <row r="647" spans="1:15" x14ac:dyDescent="0.25">
      <c r="A647" s="34"/>
      <c r="B647" s="33"/>
      <c r="C647" s="34"/>
      <c r="D647" s="34"/>
      <c r="E647" s="34"/>
      <c r="F647" s="34"/>
      <c r="G647" s="35"/>
      <c r="H647" s="34"/>
      <c r="I647" s="5" t="str">
        <f t="shared" si="50"/>
        <v/>
      </c>
      <c r="J647" s="12" t="str">
        <f t="shared" si="51"/>
        <v/>
      </c>
      <c r="K647" s="37" t="str">
        <f>IF(A647="","",Inputs!$B$11-B647)</f>
        <v/>
      </c>
      <c r="L647" s="5" t="str">
        <f>IF(A647="","",IF(I647&lt;=0,"Sold out",IF(K647&gt;=Inputs!$B$18,"Dead",IF(K647&gt;=Inputs!$B$17,"Ageing",IF(K647&gt;=Inputs!$B$16,"Watch","Fresh")))))</f>
        <v/>
      </c>
      <c r="M647" s="5" t="str">
        <f t="shared" si="52"/>
        <v/>
      </c>
      <c r="N647" s="12" t="str">
        <f t="shared" si="53"/>
        <v/>
      </c>
      <c r="O647" s="36" t="str">
        <f t="shared" si="54"/>
        <v/>
      </c>
    </row>
    <row r="648" spans="1:15" x14ac:dyDescent="0.25">
      <c r="A648" s="34"/>
      <c r="B648" s="33"/>
      <c r="C648" s="34"/>
      <c r="D648" s="34"/>
      <c r="E648" s="34"/>
      <c r="F648" s="34"/>
      <c r="G648" s="35"/>
      <c r="H648" s="34"/>
      <c r="I648" s="5" t="str">
        <f t="shared" si="50"/>
        <v/>
      </c>
      <c r="J648" s="12" t="str">
        <f t="shared" si="51"/>
        <v/>
      </c>
      <c r="K648" s="37" t="str">
        <f>IF(A648="","",Inputs!$B$11-B648)</f>
        <v/>
      </c>
      <c r="L648" s="5" t="str">
        <f>IF(A648="","",IF(I648&lt;=0,"Sold out",IF(K648&gt;=Inputs!$B$18,"Dead",IF(K648&gt;=Inputs!$B$17,"Ageing",IF(K648&gt;=Inputs!$B$16,"Watch","Fresh")))))</f>
        <v/>
      </c>
      <c r="M648" s="5" t="str">
        <f t="shared" si="52"/>
        <v/>
      </c>
      <c r="N648" s="12" t="str">
        <f t="shared" si="53"/>
        <v/>
      </c>
      <c r="O648" s="36" t="str">
        <f t="shared" si="54"/>
        <v/>
      </c>
    </row>
    <row r="649" spans="1:15" x14ac:dyDescent="0.25">
      <c r="A649" s="34"/>
      <c r="B649" s="33"/>
      <c r="C649" s="34"/>
      <c r="D649" s="34"/>
      <c r="E649" s="34"/>
      <c r="F649" s="34"/>
      <c r="G649" s="35"/>
      <c r="H649" s="34"/>
      <c r="I649" s="5" t="str">
        <f t="shared" si="50"/>
        <v/>
      </c>
      <c r="J649" s="12" t="str">
        <f t="shared" si="51"/>
        <v/>
      </c>
      <c r="K649" s="37" t="str">
        <f>IF(A649="","",Inputs!$B$11-B649)</f>
        <v/>
      </c>
      <c r="L649" s="5" t="str">
        <f>IF(A649="","",IF(I649&lt;=0,"Sold out",IF(K649&gt;=Inputs!$B$18,"Dead",IF(K649&gt;=Inputs!$B$17,"Ageing",IF(K649&gt;=Inputs!$B$16,"Watch","Fresh")))))</f>
        <v/>
      </c>
      <c r="M649" s="5" t="str">
        <f t="shared" si="52"/>
        <v/>
      </c>
      <c r="N649" s="12" t="str">
        <f t="shared" si="53"/>
        <v/>
      </c>
      <c r="O649" s="36" t="str">
        <f t="shared" si="54"/>
        <v/>
      </c>
    </row>
    <row r="650" spans="1:15" x14ac:dyDescent="0.25">
      <c r="A650" s="34"/>
      <c r="B650" s="33"/>
      <c r="C650" s="34"/>
      <c r="D650" s="34"/>
      <c r="E650" s="34"/>
      <c r="F650" s="34"/>
      <c r="G650" s="35"/>
      <c r="H650" s="34"/>
      <c r="I650" s="5" t="str">
        <f t="shared" si="50"/>
        <v/>
      </c>
      <c r="J650" s="12" t="str">
        <f t="shared" si="51"/>
        <v/>
      </c>
      <c r="K650" s="37" t="str">
        <f>IF(A650="","",Inputs!$B$11-B650)</f>
        <v/>
      </c>
      <c r="L650" s="5" t="str">
        <f>IF(A650="","",IF(I650&lt;=0,"Sold out",IF(K650&gt;=Inputs!$B$18,"Dead",IF(K650&gt;=Inputs!$B$17,"Ageing",IF(K650&gt;=Inputs!$B$16,"Watch","Fresh")))))</f>
        <v/>
      </c>
      <c r="M650" s="5" t="str">
        <f t="shared" si="52"/>
        <v/>
      </c>
      <c r="N650" s="12" t="str">
        <f t="shared" si="53"/>
        <v/>
      </c>
      <c r="O650" s="36" t="str">
        <f t="shared" si="54"/>
        <v/>
      </c>
    </row>
    <row r="651" spans="1:15" x14ac:dyDescent="0.25">
      <c r="A651" s="34"/>
      <c r="B651" s="33"/>
      <c r="C651" s="34"/>
      <c r="D651" s="34"/>
      <c r="E651" s="34"/>
      <c r="F651" s="34"/>
      <c r="G651" s="35"/>
      <c r="H651" s="34"/>
      <c r="I651" s="5" t="str">
        <f t="shared" si="50"/>
        <v/>
      </c>
      <c r="J651" s="12" t="str">
        <f t="shared" si="51"/>
        <v/>
      </c>
      <c r="K651" s="37" t="str">
        <f>IF(A651="","",Inputs!$B$11-B651)</f>
        <v/>
      </c>
      <c r="L651" s="5" t="str">
        <f>IF(A651="","",IF(I651&lt;=0,"Sold out",IF(K651&gt;=Inputs!$B$18,"Dead",IF(K651&gt;=Inputs!$B$17,"Ageing",IF(K651&gt;=Inputs!$B$16,"Watch","Fresh")))))</f>
        <v/>
      </c>
      <c r="M651" s="5" t="str">
        <f t="shared" si="52"/>
        <v/>
      </c>
      <c r="N651" s="12" t="str">
        <f t="shared" si="53"/>
        <v/>
      </c>
      <c r="O651" s="36" t="str">
        <f t="shared" si="54"/>
        <v/>
      </c>
    </row>
    <row r="652" spans="1:15" x14ac:dyDescent="0.25">
      <c r="A652" s="34"/>
      <c r="B652" s="33"/>
      <c r="C652" s="34"/>
      <c r="D652" s="34"/>
      <c r="E652" s="34"/>
      <c r="F652" s="34"/>
      <c r="G652" s="35"/>
      <c r="H652" s="34"/>
      <c r="I652" s="5" t="str">
        <f t="shared" si="50"/>
        <v/>
      </c>
      <c r="J652" s="12" t="str">
        <f t="shared" si="51"/>
        <v/>
      </c>
      <c r="K652" s="37" t="str">
        <f>IF(A652="","",Inputs!$B$11-B652)</f>
        <v/>
      </c>
      <c r="L652" s="5" t="str">
        <f>IF(A652="","",IF(I652&lt;=0,"Sold out",IF(K652&gt;=Inputs!$B$18,"Dead",IF(K652&gt;=Inputs!$B$17,"Ageing",IF(K652&gt;=Inputs!$B$16,"Watch","Fresh")))))</f>
        <v/>
      </c>
      <c r="M652" s="5" t="str">
        <f t="shared" si="52"/>
        <v/>
      </c>
      <c r="N652" s="12" t="str">
        <f t="shared" si="53"/>
        <v/>
      </c>
      <c r="O652" s="36" t="str">
        <f t="shared" si="54"/>
        <v/>
      </c>
    </row>
    <row r="653" spans="1:15" x14ac:dyDescent="0.25">
      <c r="A653" s="34"/>
      <c r="B653" s="33"/>
      <c r="C653" s="34"/>
      <c r="D653" s="34"/>
      <c r="E653" s="34"/>
      <c r="F653" s="34"/>
      <c r="G653" s="35"/>
      <c r="H653" s="34"/>
      <c r="I653" s="5" t="str">
        <f t="shared" si="50"/>
        <v/>
      </c>
      <c r="J653" s="12" t="str">
        <f t="shared" si="51"/>
        <v/>
      </c>
      <c r="K653" s="37" t="str">
        <f>IF(A653="","",Inputs!$B$11-B653)</f>
        <v/>
      </c>
      <c r="L653" s="5" t="str">
        <f>IF(A653="","",IF(I653&lt;=0,"Sold out",IF(K653&gt;=Inputs!$B$18,"Dead",IF(K653&gt;=Inputs!$B$17,"Ageing",IF(K653&gt;=Inputs!$B$16,"Watch","Fresh")))))</f>
        <v/>
      </c>
      <c r="M653" s="5" t="str">
        <f t="shared" si="52"/>
        <v/>
      </c>
      <c r="N653" s="12" t="str">
        <f t="shared" si="53"/>
        <v/>
      </c>
      <c r="O653" s="36" t="str">
        <f t="shared" si="54"/>
        <v/>
      </c>
    </row>
    <row r="654" spans="1:15" x14ac:dyDescent="0.25">
      <c r="A654" s="34"/>
      <c r="B654" s="33"/>
      <c r="C654" s="34"/>
      <c r="D654" s="34"/>
      <c r="E654" s="34"/>
      <c r="F654" s="34"/>
      <c r="G654" s="35"/>
      <c r="H654" s="34"/>
      <c r="I654" s="5" t="str">
        <f t="shared" si="50"/>
        <v/>
      </c>
      <c r="J654" s="12" t="str">
        <f t="shared" si="51"/>
        <v/>
      </c>
      <c r="K654" s="37" t="str">
        <f>IF(A654="","",Inputs!$B$11-B654)</f>
        <v/>
      </c>
      <c r="L654" s="5" t="str">
        <f>IF(A654="","",IF(I654&lt;=0,"Sold out",IF(K654&gt;=Inputs!$B$18,"Dead",IF(K654&gt;=Inputs!$B$17,"Ageing",IF(K654&gt;=Inputs!$B$16,"Watch","Fresh")))))</f>
        <v/>
      </c>
      <c r="M654" s="5" t="str">
        <f t="shared" si="52"/>
        <v/>
      </c>
      <c r="N654" s="12" t="str">
        <f t="shared" si="53"/>
        <v/>
      </c>
      <c r="O654" s="36" t="str">
        <f t="shared" si="54"/>
        <v/>
      </c>
    </row>
    <row r="655" spans="1:15" x14ac:dyDescent="0.25">
      <c r="A655" s="34"/>
      <c r="B655" s="33"/>
      <c r="C655" s="34"/>
      <c r="D655" s="34"/>
      <c r="E655" s="34"/>
      <c r="F655" s="34"/>
      <c r="G655" s="35"/>
      <c r="H655" s="34"/>
      <c r="I655" s="5" t="str">
        <f t="shared" si="50"/>
        <v/>
      </c>
      <c r="J655" s="12" t="str">
        <f t="shared" si="51"/>
        <v/>
      </c>
      <c r="K655" s="37" t="str">
        <f>IF(A655="","",Inputs!$B$11-B655)</f>
        <v/>
      </c>
      <c r="L655" s="5" t="str">
        <f>IF(A655="","",IF(I655&lt;=0,"Sold out",IF(K655&gt;=Inputs!$B$18,"Dead",IF(K655&gt;=Inputs!$B$17,"Ageing",IF(K655&gt;=Inputs!$B$16,"Watch","Fresh")))))</f>
        <v/>
      </c>
      <c r="M655" s="5" t="str">
        <f t="shared" si="52"/>
        <v/>
      </c>
      <c r="N655" s="12" t="str">
        <f t="shared" si="53"/>
        <v/>
      </c>
      <c r="O655" s="36" t="str">
        <f t="shared" si="54"/>
        <v/>
      </c>
    </row>
    <row r="656" spans="1:15" x14ac:dyDescent="0.25">
      <c r="A656" s="34"/>
      <c r="B656" s="33"/>
      <c r="C656" s="34"/>
      <c r="D656" s="34"/>
      <c r="E656" s="34"/>
      <c r="F656" s="34"/>
      <c r="G656" s="35"/>
      <c r="H656" s="34"/>
      <c r="I656" s="5" t="str">
        <f t="shared" si="50"/>
        <v/>
      </c>
      <c r="J656" s="12" t="str">
        <f t="shared" si="51"/>
        <v/>
      </c>
      <c r="K656" s="37" t="str">
        <f>IF(A656="","",Inputs!$B$11-B656)</f>
        <v/>
      </c>
      <c r="L656" s="5" t="str">
        <f>IF(A656="","",IF(I656&lt;=0,"Sold out",IF(K656&gt;=Inputs!$B$18,"Dead",IF(K656&gt;=Inputs!$B$17,"Ageing",IF(K656&gt;=Inputs!$B$16,"Watch","Fresh")))))</f>
        <v/>
      </c>
      <c r="M656" s="5" t="str">
        <f t="shared" si="52"/>
        <v/>
      </c>
      <c r="N656" s="12" t="str">
        <f t="shared" si="53"/>
        <v/>
      </c>
      <c r="O656" s="36" t="str">
        <f t="shared" si="54"/>
        <v/>
      </c>
    </row>
    <row r="657" spans="1:15" x14ac:dyDescent="0.25">
      <c r="A657" s="34"/>
      <c r="B657" s="33"/>
      <c r="C657" s="34"/>
      <c r="D657" s="34"/>
      <c r="E657" s="34"/>
      <c r="F657" s="34"/>
      <c r="G657" s="35"/>
      <c r="H657" s="34"/>
      <c r="I657" s="5" t="str">
        <f t="shared" si="50"/>
        <v/>
      </c>
      <c r="J657" s="12" t="str">
        <f t="shared" si="51"/>
        <v/>
      </c>
      <c r="K657" s="37" t="str">
        <f>IF(A657="","",Inputs!$B$11-B657)</f>
        <v/>
      </c>
      <c r="L657" s="5" t="str">
        <f>IF(A657="","",IF(I657&lt;=0,"Sold out",IF(K657&gt;=Inputs!$B$18,"Dead",IF(K657&gt;=Inputs!$B$17,"Ageing",IF(K657&gt;=Inputs!$B$16,"Watch","Fresh")))))</f>
        <v/>
      </c>
      <c r="M657" s="5" t="str">
        <f t="shared" si="52"/>
        <v/>
      </c>
      <c r="N657" s="12" t="str">
        <f t="shared" si="53"/>
        <v/>
      </c>
      <c r="O657" s="36" t="str">
        <f t="shared" si="54"/>
        <v/>
      </c>
    </row>
    <row r="658" spans="1:15" x14ac:dyDescent="0.25">
      <c r="A658" s="34"/>
      <c r="B658" s="33"/>
      <c r="C658" s="34"/>
      <c r="D658" s="34"/>
      <c r="E658" s="34"/>
      <c r="F658" s="34"/>
      <c r="G658" s="35"/>
      <c r="H658" s="34"/>
      <c r="I658" s="5" t="str">
        <f t="shared" si="50"/>
        <v/>
      </c>
      <c r="J658" s="12" t="str">
        <f t="shared" si="51"/>
        <v/>
      </c>
      <c r="K658" s="37" t="str">
        <f>IF(A658="","",Inputs!$B$11-B658)</f>
        <v/>
      </c>
      <c r="L658" s="5" t="str">
        <f>IF(A658="","",IF(I658&lt;=0,"Sold out",IF(K658&gt;=Inputs!$B$18,"Dead",IF(K658&gt;=Inputs!$B$17,"Ageing",IF(K658&gt;=Inputs!$B$16,"Watch","Fresh")))))</f>
        <v/>
      </c>
      <c r="M658" s="5" t="str">
        <f t="shared" si="52"/>
        <v/>
      </c>
      <c r="N658" s="12" t="str">
        <f t="shared" si="53"/>
        <v/>
      </c>
      <c r="O658" s="36" t="str">
        <f t="shared" si="54"/>
        <v/>
      </c>
    </row>
    <row r="659" spans="1:15" x14ac:dyDescent="0.25">
      <c r="A659" s="34"/>
      <c r="B659" s="33"/>
      <c r="C659" s="34"/>
      <c r="D659" s="34"/>
      <c r="E659" s="34"/>
      <c r="F659" s="34"/>
      <c r="G659" s="35"/>
      <c r="H659" s="34"/>
      <c r="I659" s="5" t="str">
        <f t="shared" si="50"/>
        <v/>
      </c>
      <c r="J659" s="12" t="str">
        <f t="shared" si="51"/>
        <v/>
      </c>
      <c r="K659" s="37" t="str">
        <f>IF(A659="","",Inputs!$B$11-B659)</f>
        <v/>
      </c>
      <c r="L659" s="5" t="str">
        <f>IF(A659="","",IF(I659&lt;=0,"Sold out",IF(K659&gt;=Inputs!$B$18,"Dead",IF(K659&gt;=Inputs!$B$17,"Ageing",IF(K659&gt;=Inputs!$B$16,"Watch","Fresh")))))</f>
        <v/>
      </c>
      <c r="M659" s="5" t="str">
        <f t="shared" si="52"/>
        <v/>
      </c>
      <c r="N659" s="12" t="str">
        <f t="shared" si="53"/>
        <v/>
      </c>
      <c r="O659" s="36" t="str">
        <f t="shared" si="54"/>
        <v/>
      </c>
    </row>
    <row r="660" spans="1:15" x14ac:dyDescent="0.25">
      <c r="A660" s="34"/>
      <c r="B660" s="33"/>
      <c r="C660" s="34"/>
      <c r="D660" s="34"/>
      <c r="E660" s="34"/>
      <c r="F660" s="34"/>
      <c r="G660" s="35"/>
      <c r="H660" s="34"/>
      <c r="I660" s="5" t="str">
        <f t="shared" si="50"/>
        <v/>
      </c>
      <c r="J660" s="12" t="str">
        <f t="shared" si="51"/>
        <v/>
      </c>
      <c r="K660" s="37" t="str">
        <f>IF(A660="","",Inputs!$B$11-B660)</f>
        <v/>
      </c>
      <c r="L660" s="5" t="str">
        <f>IF(A660="","",IF(I660&lt;=0,"Sold out",IF(K660&gt;=Inputs!$B$18,"Dead",IF(K660&gt;=Inputs!$B$17,"Ageing",IF(K660&gt;=Inputs!$B$16,"Watch","Fresh")))))</f>
        <v/>
      </c>
      <c r="M660" s="5" t="str">
        <f t="shared" si="52"/>
        <v/>
      </c>
      <c r="N660" s="12" t="str">
        <f t="shared" si="53"/>
        <v/>
      </c>
      <c r="O660" s="36" t="str">
        <f t="shared" si="54"/>
        <v/>
      </c>
    </row>
    <row r="661" spans="1:15" x14ac:dyDescent="0.25">
      <c r="A661" s="34"/>
      <c r="B661" s="33"/>
      <c r="C661" s="34"/>
      <c r="D661" s="34"/>
      <c r="E661" s="34"/>
      <c r="F661" s="34"/>
      <c r="G661" s="35"/>
      <c r="H661" s="34"/>
      <c r="I661" s="5" t="str">
        <f t="shared" si="50"/>
        <v/>
      </c>
      <c r="J661" s="12" t="str">
        <f t="shared" si="51"/>
        <v/>
      </c>
      <c r="K661" s="37" t="str">
        <f>IF(A661="","",Inputs!$B$11-B661)</f>
        <v/>
      </c>
      <c r="L661" s="5" t="str">
        <f>IF(A661="","",IF(I661&lt;=0,"Sold out",IF(K661&gt;=Inputs!$B$18,"Dead",IF(K661&gt;=Inputs!$B$17,"Ageing",IF(K661&gt;=Inputs!$B$16,"Watch","Fresh")))))</f>
        <v/>
      </c>
      <c r="M661" s="5" t="str">
        <f t="shared" si="52"/>
        <v/>
      </c>
      <c r="N661" s="12" t="str">
        <f t="shared" si="53"/>
        <v/>
      </c>
      <c r="O661" s="36" t="str">
        <f t="shared" si="54"/>
        <v/>
      </c>
    </row>
    <row r="662" spans="1:15" x14ac:dyDescent="0.25">
      <c r="A662" s="34"/>
      <c r="B662" s="33"/>
      <c r="C662" s="34"/>
      <c r="D662" s="34"/>
      <c r="E662" s="34"/>
      <c r="F662" s="34"/>
      <c r="G662" s="35"/>
      <c r="H662" s="34"/>
      <c r="I662" s="5" t="str">
        <f t="shared" si="50"/>
        <v/>
      </c>
      <c r="J662" s="12" t="str">
        <f t="shared" si="51"/>
        <v/>
      </c>
      <c r="K662" s="37" t="str">
        <f>IF(A662="","",Inputs!$B$11-B662)</f>
        <v/>
      </c>
      <c r="L662" s="5" t="str">
        <f>IF(A662="","",IF(I662&lt;=0,"Sold out",IF(K662&gt;=Inputs!$B$18,"Dead",IF(K662&gt;=Inputs!$B$17,"Ageing",IF(K662&gt;=Inputs!$B$16,"Watch","Fresh")))))</f>
        <v/>
      </c>
      <c r="M662" s="5" t="str">
        <f t="shared" si="52"/>
        <v/>
      </c>
      <c r="N662" s="12" t="str">
        <f t="shared" si="53"/>
        <v/>
      </c>
      <c r="O662" s="36" t="str">
        <f t="shared" si="54"/>
        <v/>
      </c>
    </row>
    <row r="663" spans="1:15" x14ac:dyDescent="0.25">
      <c r="A663" s="34"/>
      <c r="B663" s="33"/>
      <c r="C663" s="34"/>
      <c r="D663" s="34"/>
      <c r="E663" s="34"/>
      <c r="F663" s="34"/>
      <c r="G663" s="35"/>
      <c r="H663" s="34"/>
      <c r="I663" s="5" t="str">
        <f t="shared" si="50"/>
        <v/>
      </c>
      <c r="J663" s="12" t="str">
        <f t="shared" si="51"/>
        <v/>
      </c>
      <c r="K663" s="37" t="str">
        <f>IF(A663="","",Inputs!$B$11-B663)</f>
        <v/>
      </c>
      <c r="L663" s="5" t="str">
        <f>IF(A663="","",IF(I663&lt;=0,"Sold out",IF(K663&gt;=Inputs!$B$18,"Dead",IF(K663&gt;=Inputs!$B$17,"Ageing",IF(K663&gt;=Inputs!$B$16,"Watch","Fresh")))))</f>
        <v/>
      </c>
      <c r="M663" s="5" t="str">
        <f t="shared" si="52"/>
        <v/>
      </c>
      <c r="N663" s="12" t="str">
        <f t="shared" si="53"/>
        <v/>
      </c>
      <c r="O663" s="36" t="str">
        <f t="shared" si="54"/>
        <v/>
      </c>
    </row>
    <row r="664" spans="1:15" x14ac:dyDescent="0.25">
      <c r="A664" s="34"/>
      <c r="B664" s="33"/>
      <c r="C664" s="34"/>
      <c r="D664" s="34"/>
      <c r="E664" s="34"/>
      <c r="F664" s="34"/>
      <c r="G664" s="35"/>
      <c r="H664" s="34"/>
      <c r="I664" s="5" t="str">
        <f t="shared" si="50"/>
        <v/>
      </c>
      <c r="J664" s="12" t="str">
        <f t="shared" si="51"/>
        <v/>
      </c>
      <c r="K664" s="37" t="str">
        <f>IF(A664="","",Inputs!$B$11-B664)</f>
        <v/>
      </c>
      <c r="L664" s="5" t="str">
        <f>IF(A664="","",IF(I664&lt;=0,"Sold out",IF(K664&gt;=Inputs!$B$18,"Dead",IF(K664&gt;=Inputs!$B$17,"Ageing",IF(K664&gt;=Inputs!$B$16,"Watch","Fresh")))))</f>
        <v/>
      </c>
      <c r="M664" s="5" t="str">
        <f t="shared" si="52"/>
        <v/>
      </c>
      <c r="N664" s="12" t="str">
        <f t="shared" si="53"/>
        <v/>
      </c>
      <c r="O664" s="36" t="str">
        <f t="shared" si="54"/>
        <v/>
      </c>
    </row>
    <row r="665" spans="1:15" x14ac:dyDescent="0.25">
      <c r="A665" s="34"/>
      <c r="B665" s="33"/>
      <c r="C665" s="34"/>
      <c r="D665" s="34"/>
      <c r="E665" s="34"/>
      <c r="F665" s="34"/>
      <c r="G665" s="35"/>
      <c r="H665" s="34"/>
      <c r="I665" s="5" t="str">
        <f t="shared" si="50"/>
        <v/>
      </c>
      <c r="J665" s="12" t="str">
        <f t="shared" si="51"/>
        <v/>
      </c>
      <c r="K665" s="37" t="str">
        <f>IF(A665="","",Inputs!$B$11-B665)</f>
        <v/>
      </c>
      <c r="L665" s="5" t="str">
        <f>IF(A665="","",IF(I665&lt;=0,"Sold out",IF(K665&gt;=Inputs!$B$18,"Dead",IF(K665&gt;=Inputs!$B$17,"Ageing",IF(K665&gt;=Inputs!$B$16,"Watch","Fresh")))))</f>
        <v/>
      </c>
      <c r="M665" s="5" t="str">
        <f t="shared" si="52"/>
        <v/>
      </c>
      <c r="N665" s="12" t="str">
        <f t="shared" si="53"/>
        <v/>
      </c>
      <c r="O665" s="36" t="str">
        <f t="shared" si="54"/>
        <v/>
      </c>
    </row>
    <row r="666" spans="1:15" x14ac:dyDescent="0.25">
      <c r="A666" s="34"/>
      <c r="B666" s="33"/>
      <c r="C666" s="34"/>
      <c r="D666" s="34"/>
      <c r="E666" s="34"/>
      <c r="F666" s="34"/>
      <c r="G666" s="35"/>
      <c r="H666" s="34"/>
      <c r="I666" s="5" t="str">
        <f t="shared" si="50"/>
        <v/>
      </c>
      <c r="J666" s="12" t="str">
        <f t="shared" si="51"/>
        <v/>
      </c>
      <c r="K666" s="37" t="str">
        <f>IF(A666="","",Inputs!$B$11-B666)</f>
        <v/>
      </c>
      <c r="L666" s="5" t="str">
        <f>IF(A666="","",IF(I666&lt;=0,"Sold out",IF(K666&gt;=Inputs!$B$18,"Dead",IF(K666&gt;=Inputs!$B$17,"Ageing",IF(K666&gt;=Inputs!$B$16,"Watch","Fresh")))))</f>
        <v/>
      </c>
      <c r="M666" s="5" t="str">
        <f t="shared" si="52"/>
        <v/>
      </c>
      <c r="N666" s="12" t="str">
        <f t="shared" si="53"/>
        <v/>
      </c>
      <c r="O666" s="36" t="str">
        <f t="shared" si="54"/>
        <v/>
      </c>
    </row>
    <row r="667" spans="1:15" x14ac:dyDescent="0.25">
      <c r="A667" s="34"/>
      <c r="B667" s="33"/>
      <c r="C667" s="34"/>
      <c r="D667" s="34"/>
      <c r="E667" s="34"/>
      <c r="F667" s="34"/>
      <c r="G667" s="35"/>
      <c r="H667" s="34"/>
      <c r="I667" s="5" t="str">
        <f t="shared" si="50"/>
        <v/>
      </c>
      <c r="J667" s="12" t="str">
        <f t="shared" si="51"/>
        <v/>
      </c>
      <c r="K667" s="37" t="str">
        <f>IF(A667="","",Inputs!$B$11-B667)</f>
        <v/>
      </c>
      <c r="L667" s="5" t="str">
        <f>IF(A667="","",IF(I667&lt;=0,"Sold out",IF(K667&gt;=Inputs!$B$18,"Dead",IF(K667&gt;=Inputs!$B$17,"Ageing",IF(K667&gt;=Inputs!$B$16,"Watch","Fresh")))))</f>
        <v/>
      </c>
      <c r="M667" s="5" t="str">
        <f t="shared" si="52"/>
        <v/>
      </c>
      <c r="N667" s="12" t="str">
        <f t="shared" si="53"/>
        <v/>
      </c>
      <c r="O667" s="36" t="str">
        <f t="shared" si="54"/>
        <v/>
      </c>
    </row>
    <row r="668" spans="1:15" x14ac:dyDescent="0.25">
      <c r="A668" s="34"/>
      <c r="B668" s="33"/>
      <c r="C668" s="34"/>
      <c r="D668" s="34"/>
      <c r="E668" s="34"/>
      <c r="F668" s="34"/>
      <c r="G668" s="35"/>
      <c r="H668" s="34"/>
      <c r="I668" s="5" t="str">
        <f t="shared" si="50"/>
        <v/>
      </c>
      <c r="J668" s="12" t="str">
        <f t="shared" si="51"/>
        <v/>
      </c>
      <c r="K668" s="37" t="str">
        <f>IF(A668="","",Inputs!$B$11-B668)</f>
        <v/>
      </c>
      <c r="L668" s="5" t="str">
        <f>IF(A668="","",IF(I668&lt;=0,"Sold out",IF(K668&gt;=Inputs!$B$18,"Dead",IF(K668&gt;=Inputs!$B$17,"Ageing",IF(K668&gt;=Inputs!$B$16,"Watch","Fresh")))))</f>
        <v/>
      </c>
      <c r="M668" s="5" t="str">
        <f t="shared" si="52"/>
        <v/>
      </c>
      <c r="N668" s="12" t="str">
        <f t="shared" si="53"/>
        <v/>
      </c>
      <c r="O668" s="36" t="str">
        <f t="shared" si="54"/>
        <v/>
      </c>
    </row>
    <row r="669" spans="1:15" x14ac:dyDescent="0.25">
      <c r="A669" s="34"/>
      <c r="B669" s="33"/>
      <c r="C669" s="34"/>
      <c r="D669" s="34"/>
      <c r="E669" s="34"/>
      <c r="F669" s="34"/>
      <c r="G669" s="35"/>
      <c r="H669" s="34"/>
      <c r="I669" s="5" t="str">
        <f t="shared" si="50"/>
        <v/>
      </c>
      <c r="J669" s="12" t="str">
        <f t="shared" si="51"/>
        <v/>
      </c>
      <c r="K669" s="37" t="str">
        <f>IF(A669="","",Inputs!$B$11-B669)</f>
        <v/>
      </c>
      <c r="L669" s="5" t="str">
        <f>IF(A669="","",IF(I669&lt;=0,"Sold out",IF(K669&gt;=Inputs!$B$18,"Dead",IF(K669&gt;=Inputs!$B$17,"Ageing",IF(K669&gt;=Inputs!$B$16,"Watch","Fresh")))))</f>
        <v/>
      </c>
      <c r="M669" s="5" t="str">
        <f t="shared" si="52"/>
        <v/>
      </c>
      <c r="N669" s="12" t="str">
        <f t="shared" si="53"/>
        <v/>
      </c>
      <c r="O669" s="36" t="str">
        <f t="shared" si="54"/>
        <v/>
      </c>
    </row>
    <row r="670" spans="1:15" x14ac:dyDescent="0.25">
      <c r="A670" s="34"/>
      <c r="B670" s="33"/>
      <c r="C670" s="34"/>
      <c r="D670" s="34"/>
      <c r="E670" s="34"/>
      <c r="F670" s="34"/>
      <c r="G670" s="35"/>
      <c r="H670" s="34"/>
      <c r="I670" s="5" t="str">
        <f t="shared" si="50"/>
        <v/>
      </c>
      <c r="J670" s="12" t="str">
        <f t="shared" si="51"/>
        <v/>
      </c>
      <c r="K670" s="37" t="str">
        <f>IF(A670="","",Inputs!$B$11-B670)</f>
        <v/>
      </c>
      <c r="L670" s="5" t="str">
        <f>IF(A670="","",IF(I670&lt;=0,"Sold out",IF(K670&gt;=Inputs!$B$18,"Dead",IF(K670&gt;=Inputs!$B$17,"Ageing",IF(K670&gt;=Inputs!$B$16,"Watch","Fresh")))))</f>
        <v/>
      </c>
      <c r="M670" s="5" t="str">
        <f t="shared" si="52"/>
        <v/>
      </c>
      <c r="N670" s="12" t="str">
        <f t="shared" si="53"/>
        <v/>
      </c>
      <c r="O670" s="36" t="str">
        <f t="shared" si="54"/>
        <v/>
      </c>
    </row>
    <row r="671" spans="1:15" x14ac:dyDescent="0.25">
      <c r="A671" s="34"/>
      <c r="B671" s="33"/>
      <c r="C671" s="34"/>
      <c r="D671" s="34"/>
      <c r="E671" s="34"/>
      <c r="F671" s="34"/>
      <c r="G671" s="35"/>
      <c r="H671" s="34"/>
      <c r="I671" s="5" t="str">
        <f t="shared" si="50"/>
        <v/>
      </c>
      <c r="J671" s="12" t="str">
        <f t="shared" si="51"/>
        <v/>
      </c>
      <c r="K671" s="37" t="str">
        <f>IF(A671="","",Inputs!$B$11-B671)</f>
        <v/>
      </c>
      <c r="L671" s="5" t="str">
        <f>IF(A671="","",IF(I671&lt;=0,"Sold out",IF(K671&gt;=Inputs!$B$18,"Dead",IF(K671&gt;=Inputs!$B$17,"Ageing",IF(K671&gt;=Inputs!$B$16,"Watch","Fresh")))))</f>
        <v/>
      </c>
      <c r="M671" s="5" t="str">
        <f t="shared" si="52"/>
        <v/>
      </c>
      <c r="N671" s="12" t="str">
        <f t="shared" si="53"/>
        <v/>
      </c>
      <c r="O671" s="36" t="str">
        <f t="shared" si="54"/>
        <v/>
      </c>
    </row>
    <row r="672" spans="1:15" x14ac:dyDescent="0.25">
      <c r="A672" s="34"/>
      <c r="B672" s="33"/>
      <c r="C672" s="34"/>
      <c r="D672" s="34"/>
      <c r="E672" s="34"/>
      <c r="F672" s="34"/>
      <c r="G672" s="35"/>
      <c r="H672" s="34"/>
      <c r="I672" s="5" t="str">
        <f t="shared" si="50"/>
        <v/>
      </c>
      <c r="J672" s="12" t="str">
        <f t="shared" si="51"/>
        <v/>
      </c>
      <c r="K672" s="37" t="str">
        <f>IF(A672="","",Inputs!$B$11-B672)</f>
        <v/>
      </c>
      <c r="L672" s="5" t="str">
        <f>IF(A672="","",IF(I672&lt;=0,"Sold out",IF(K672&gt;=Inputs!$B$18,"Dead",IF(K672&gt;=Inputs!$B$17,"Ageing",IF(K672&gt;=Inputs!$B$16,"Watch","Fresh")))))</f>
        <v/>
      </c>
      <c r="M672" s="5" t="str">
        <f t="shared" si="52"/>
        <v/>
      </c>
      <c r="N672" s="12" t="str">
        <f t="shared" si="53"/>
        <v/>
      </c>
      <c r="O672" s="36" t="str">
        <f t="shared" si="54"/>
        <v/>
      </c>
    </row>
    <row r="673" spans="1:15" x14ac:dyDescent="0.25">
      <c r="A673" s="34"/>
      <c r="B673" s="33"/>
      <c r="C673" s="34"/>
      <c r="D673" s="34"/>
      <c r="E673" s="34"/>
      <c r="F673" s="34"/>
      <c r="G673" s="35"/>
      <c r="H673" s="34"/>
      <c r="I673" s="5" t="str">
        <f t="shared" si="50"/>
        <v/>
      </c>
      <c r="J673" s="12" t="str">
        <f t="shared" si="51"/>
        <v/>
      </c>
      <c r="K673" s="37" t="str">
        <f>IF(A673="","",Inputs!$B$11-B673)</f>
        <v/>
      </c>
      <c r="L673" s="5" t="str">
        <f>IF(A673="","",IF(I673&lt;=0,"Sold out",IF(K673&gt;=Inputs!$B$18,"Dead",IF(K673&gt;=Inputs!$B$17,"Ageing",IF(K673&gt;=Inputs!$B$16,"Watch","Fresh")))))</f>
        <v/>
      </c>
      <c r="M673" s="5" t="str">
        <f t="shared" si="52"/>
        <v/>
      </c>
      <c r="N673" s="12" t="str">
        <f t="shared" si="53"/>
        <v/>
      </c>
      <c r="O673" s="36" t="str">
        <f t="shared" si="54"/>
        <v/>
      </c>
    </row>
    <row r="674" spans="1:15" x14ac:dyDescent="0.25">
      <c r="A674" s="34"/>
      <c r="B674" s="33"/>
      <c r="C674" s="34"/>
      <c r="D674" s="34"/>
      <c r="E674" s="34"/>
      <c r="F674" s="34"/>
      <c r="G674" s="35"/>
      <c r="H674" s="34"/>
      <c r="I674" s="5" t="str">
        <f t="shared" si="50"/>
        <v/>
      </c>
      <c r="J674" s="12" t="str">
        <f t="shared" si="51"/>
        <v/>
      </c>
      <c r="K674" s="37" t="str">
        <f>IF(A674="","",Inputs!$B$11-B674)</f>
        <v/>
      </c>
      <c r="L674" s="5" t="str">
        <f>IF(A674="","",IF(I674&lt;=0,"Sold out",IF(K674&gt;=Inputs!$B$18,"Dead",IF(K674&gt;=Inputs!$B$17,"Ageing",IF(K674&gt;=Inputs!$B$16,"Watch","Fresh")))))</f>
        <v/>
      </c>
      <c r="M674" s="5" t="str">
        <f t="shared" si="52"/>
        <v/>
      </c>
      <c r="N674" s="12" t="str">
        <f t="shared" si="53"/>
        <v/>
      </c>
      <c r="O674" s="36" t="str">
        <f t="shared" si="54"/>
        <v/>
      </c>
    </row>
    <row r="675" spans="1:15" x14ac:dyDescent="0.25">
      <c r="A675" s="34"/>
      <c r="B675" s="33"/>
      <c r="C675" s="34"/>
      <c r="D675" s="34"/>
      <c r="E675" s="34"/>
      <c r="F675" s="34"/>
      <c r="G675" s="35"/>
      <c r="H675" s="34"/>
      <c r="I675" s="5" t="str">
        <f t="shared" si="50"/>
        <v/>
      </c>
      <c r="J675" s="12" t="str">
        <f t="shared" si="51"/>
        <v/>
      </c>
      <c r="K675" s="37" t="str">
        <f>IF(A675="","",Inputs!$B$11-B675)</f>
        <v/>
      </c>
      <c r="L675" s="5" t="str">
        <f>IF(A675="","",IF(I675&lt;=0,"Sold out",IF(K675&gt;=Inputs!$B$18,"Dead",IF(K675&gt;=Inputs!$B$17,"Ageing",IF(K675&gt;=Inputs!$B$16,"Watch","Fresh")))))</f>
        <v/>
      </c>
      <c r="M675" s="5" t="str">
        <f t="shared" si="52"/>
        <v/>
      </c>
      <c r="N675" s="12" t="str">
        <f t="shared" si="53"/>
        <v/>
      </c>
      <c r="O675" s="36" t="str">
        <f t="shared" si="54"/>
        <v/>
      </c>
    </row>
    <row r="676" spans="1:15" x14ac:dyDescent="0.25">
      <c r="A676" s="34"/>
      <c r="B676" s="33"/>
      <c r="C676" s="34"/>
      <c r="D676" s="34"/>
      <c r="E676" s="34"/>
      <c r="F676" s="34"/>
      <c r="G676" s="35"/>
      <c r="H676" s="34"/>
      <c r="I676" s="5" t="str">
        <f t="shared" si="50"/>
        <v/>
      </c>
      <c r="J676" s="12" t="str">
        <f t="shared" si="51"/>
        <v/>
      </c>
      <c r="K676" s="37" t="str">
        <f>IF(A676="","",Inputs!$B$11-B676)</f>
        <v/>
      </c>
      <c r="L676" s="5" t="str">
        <f>IF(A676="","",IF(I676&lt;=0,"Sold out",IF(K676&gt;=Inputs!$B$18,"Dead",IF(K676&gt;=Inputs!$B$17,"Ageing",IF(K676&gt;=Inputs!$B$16,"Watch","Fresh")))))</f>
        <v/>
      </c>
      <c r="M676" s="5" t="str">
        <f t="shared" si="52"/>
        <v/>
      </c>
      <c r="N676" s="12" t="str">
        <f t="shared" si="53"/>
        <v/>
      </c>
      <c r="O676" s="36" t="str">
        <f t="shared" si="54"/>
        <v/>
      </c>
    </row>
    <row r="677" spans="1:15" x14ac:dyDescent="0.25">
      <c r="A677" s="34"/>
      <c r="B677" s="33"/>
      <c r="C677" s="34"/>
      <c r="D677" s="34"/>
      <c r="E677" s="34"/>
      <c r="F677" s="34"/>
      <c r="G677" s="35"/>
      <c r="H677" s="34"/>
      <c r="I677" s="5" t="str">
        <f t="shared" si="50"/>
        <v/>
      </c>
      <c r="J677" s="12" t="str">
        <f t="shared" si="51"/>
        <v/>
      </c>
      <c r="K677" s="37" t="str">
        <f>IF(A677="","",Inputs!$B$11-B677)</f>
        <v/>
      </c>
      <c r="L677" s="5" t="str">
        <f>IF(A677="","",IF(I677&lt;=0,"Sold out",IF(K677&gt;=Inputs!$B$18,"Dead",IF(K677&gt;=Inputs!$B$17,"Ageing",IF(K677&gt;=Inputs!$B$16,"Watch","Fresh")))))</f>
        <v/>
      </c>
      <c r="M677" s="5" t="str">
        <f t="shared" si="52"/>
        <v/>
      </c>
      <c r="N677" s="12" t="str">
        <f t="shared" si="53"/>
        <v/>
      </c>
      <c r="O677" s="36" t="str">
        <f t="shared" si="54"/>
        <v/>
      </c>
    </row>
    <row r="678" spans="1:15" x14ac:dyDescent="0.25">
      <c r="A678" s="34"/>
      <c r="B678" s="33"/>
      <c r="C678" s="34"/>
      <c r="D678" s="34"/>
      <c r="E678" s="34"/>
      <c r="F678" s="34"/>
      <c r="G678" s="35"/>
      <c r="H678" s="34"/>
      <c r="I678" s="5" t="str">
        <f t="shared" si="50"/>
        <v/>
      </c>
      <c r="J678" s="12" t="str">
        <f t="shared" si="51"/>
        <v/>
      </c>
      <c r="K678" s="37" t="str">
        <f>IF(A678="","",Inputs!$B$11-B678)</f>
        <v/>
      </c>
      <c r="L678" s="5" t="str">
        <f>IF(A678="","",IF(I678&lt;=0,"Sold out",IF(K678&gt;=Inputs!$B$18,"Dead",IF(K678&gt;=Inputs!$B$17,"Ageing",IF(K678&gt;=Inputs!$B$16,"Watch","Fresh")))))</f>
        <v/>
      </c>
      <c r="M678" s="5" t="str">
        <f t="shared" si="52"/>
        <v/>
      </c>
      <c r="N678" s="12" t="str">
        <f t="shared" si="53"/>
        <v/>
      </c>
      <c r="O678" s="36" t="str">
        <f t="shared" si="54"/>
        <v/>
      </c>
    </row>
    <row r="679" spans="1:15" x14ac:dyDescent="0.25">
      <c r="A679" s="34"/>
      <c r="B679" s="33"/>
      <c r="C679" s="34"/>
      <c r="D679" s="34"/>
      <c r="E679" s="34"/>
      <c r="F679" s="34"/>
      <c r="G679" s="35"/>
      <c r="H679" s="34"/>
      <c r="I679" s="5" t="str">
        <f t="shared" si="50"/>
        <v/>
      </c>
      <c r="J679" s="12" t="str">
        <f t="shared" si="51"/>
        <v/>
      </c>
      <c r="K679" s="37" t="str">
        <f>IF(A679="","",Inputs!$B$11-B679)</f>
        <v/>
      </c>
      <c r="L679" s="5" t="str">
        <f>IF(A679="","",IF(I679&lt;=0,"Sold out",IF(K679&gt;=Inputs!$B$18,"Dead",IF(K679&gt;=Inputs!$B$17,"Ageing",IF(K679&gt;=Inputs!$B$16,"Watch","Fresh")))))</f>
        <v/>
      </c>
      <c r="M679" s="5" t="str">
        <f t="shared" si="52"/>
        <v/>
      </c>
      <c r="N679" s="12" t="str">
        <f t="shared" si="53"/>
        <v/>
      </c>
      <c r="O679" s="36" t="str">
        <f t="shared" si="54"/>
        <v/>
      </c>
    </row>
    <row r="680" spans="1:15" x14ac:dyDescent="0.25">
      <c r="A680" s="34"/>
      <c r="B680" s="33"/>
      <c r="C680" s="34"/>
      <c r="D680" s="34"/>
      <c r="E680" s="34"/>
      <c r="F680" s="34"/>
      <c r="G680" s="35"/>
      <c r="H680" s="34"/>
      <c r="I680" s="5" t="str">
        <f t="shared" si="50"/>
        <v/>
      </c>
      <c r="J680" s="12" t="str">
        <f t="shared" si="51"/>
        <v/>
      </c>
      <c r="K680" s="37" t="str">
        <f>IF(A680="","",Inputs!$B$11-B680)</f>
        <v/>
      </c>
      <c r="L680" s="5" t="str">
        <f>IF(A680="","",IF(I680&lt;=0,"Sold out",IF(K680&gt;=Inputs!$B$18,"Dead",IF(K680&gt;=Inputs!$B$17,"Ageing",IF(K680&gt;=Inputs!$B$16,"Watch","Fresh")))))</f>
        <v/>
      </c>
      <c r="M680" s="5" t="str">
        <f t="shared" si="52"/>
        <v/>
      </c>
      <c r="N680" s="12" t="str">
        <f t="shared" si="53"/>
        <v/>
      </c>
      <c r="O680" s="36" t="str">
        <f t="shared" si="54"/>
        <v/>
      </c>
    </row>
    <row r="681" spans="1:15" x14ac:dyDescent="0.25">
      <c r="A681" s="34"/>
      <c r="B681" s="33"/>
      <c r="C681" s="34"/>
      <c r="D681" s="34"/>
      <c r="E681" s="34"/>
      <c r="F681" s="34"/>
      <c r="G681" s="35"/>
      <c r="H681" s="34"/>
      <c r="I681" s="5" t="str">
        <f t="shared" si="50"/>
        <v/>
      </c>
      <c r="J681" s="12" t="str">
        <f t="shared" si="51"/>
        <v/>
      </c>
      <c r="K681" s="37" t="str">
        <f>IF(A681="","",Inputs!$B$11-B681)</f>
        <v/>
      </c>
      <c r="L681" s="5" t="str">
        <f>IF(A681="","",IF(I681&lt;=0,"Sold out",IF(K681&gt;=Inputs!$B$18,"Dead",IF(K681&gt;=Inputs!$B$17,"Ageing",IF(K681&gt;=Inputs!$B$16,"Watch","Fresh")))))</f>
        <v/>
      </c>
      <c r="M681" s="5" t="str">
        <f t="shared" si="52"/>
        <v/>
      </c>
      <c r="N681" s="12" t="str">
        <f t="shared" si="53"/>
        <v/>
      </c>
      <c r="O681" s="36" t="str">
        <f t="shared" si="54"/>
        <v/>
      </c>
    </row>
    <row r="682" spans="1:15" x14ac:dyDescent="0.25">
      <c r="A682" s="34"/>
      <c r="B682" s="33"/>
      <c r="C682" s="34"/>
      <c r="D682" s="34"/>
      <c r="E682" s="34"/>
      <c r="F682" s="34"/>
      <c r="G682" s="35"/>
      <c r="H682" s="34"/>
      <c r="I682" s="5" t="str">
        <f t="shared" si="50"/>
        <v/>
      </c>
      <c r="J682" s="12" t="str">
        <f t="shared" si="51"/>
        <v/>
      </c>
      <c r="K682" s="37" t="str">
        <f>IF(A682="","",Inputs!$B$11-B682)</f>
        <v/>
      </c>
      <c r="L682" s="5" t="str">
        <f>IF(A682="","",IF(I682&lt;=0,"Sold out",IF(K682&gt;=Inputs!$B$18,"Dead",IF(K682&gt;=Inputs!$B$17,"Ageing",IF(K682&gt;=Inputs!$B$16,"Watch","Fresh")))))</f>
        <v/>
      </c>
      <c r="M682" s="5" t="str">
        <f t="shared" si="52"/>
        <v/>
      </c>
      <c r="N682" s="12" t="str">
        <f t="shared" si="53"/>
        <v/>
      </c>
      <c r="O682" s="36" t="str">
        <f t="shared" si="54"/>
        <v/>
      </c>
    </row>
    <row r="683" spans="1:15" x14ac:dyDescent="0.25">
      <c r="A683" s="34"/>
      <c r="B683" s="33"/>
      <c r="C683" s="34"/>
      <c r="D683" s="34"/>
      <c r="E683" s="34"/>
      <c r="F683" s="34"/>
      <c r="G683" s="35"/>
      <c r="H683" s="34"/>
      <c r="I683" s="5" t="str">
        <f t="shared" si="50"/>
        <v/>
      </c>
      <c r="J683" s="12" t="str">
        <f t="shared" si="51"/>
        <v/>
      </c>
      <c r="K683" s="37" t="str">
        <f>IF(A683="","",Inputs!$B$11-B683)</f>
        <v/>
      </c>
      <c r="L683" s="5" t="str">
        <f>IF(A683="","",IF(I683&lt;=0,"Sold out",IF(K683&gt;=Inputs!$B$18,"Dead",IF(K683&gt;=Inputs!$B$17,"Ageing",IF(K683&gt;=Inputs!$B$16,"Watch","Fresh")))))</f>
        <v/>
      </c>
      <c r="M683" s="5" t="str">
        <f t="shared" si="52"/>
        <v/>
      </c>
      <c r="N683" s="12" t="str">
        <f t="shared" si="53"/>
        <v/>
      </c>
      <c r="O683" s="36" t="str">
        <f t="shared" si="54"/>
        <v/>
      </c>
    </row>
    <row r="684" spans="1:15" x14ac:dyDescent="0.25">
      <c r="A684" s="34"/>
      <c r="B684" s="33"/>
      <c r="C684" s="34"/>
      <c r="D684" s="34"/>
      <c r="E684" s="34"/>
      <c r="F684" s="34"/>
      <c r="G684" s="35"/>
      <c r="H684" s="34"/>
      <c r="I684" s="5" t="str">
        <f t="shared" si="50"/>
        <v/>
      </c>
      <c r="J684" s="12" t="str">
        <f t="shared" si="51"/>
        <v/>
      </c>
      <c r="K684" s="37" t="str">
        <f>IF(A684="","",Inputs!$B$11-B684)</f>
        <v/>
      </c>
      <c r="L684" s="5" t="str">
        <f>IF(A684="","",IF(I684&lt;=0,"Sold out",IF(K684&gt;=Inputs!$B$18,"Dead",IF(K684&gt;=Inputs!$B$17,"Ageing",IF(K684&gt;=Inputs!$B$16,"Watch","Fresh")))))</f>
        <v/>
      </c>
      <c r="M684" s="5" t="str">
        <f t="shared" si="52"/>
        <v/>
      </c>
      <c r="N684" s="12" t="str">
        <f t="shared" si="53"/>
        <v/>
      </c>
      <c r="O684" s="36" t="str">
        <f t="shared" si="54"/>
        <v/>
      </c>
    </row>
    <row r="685" spans="1:15" x14ac:dyDescent="0.25">
      <c r="A685" s="34"/>
      <c r="B685" s="33"/>
      <c r="C685" s="34"/>
      <c r="D685" s="34"/>
      <c r="E685" s="34"/>
      <c r="F685" s="34"/>
      <c r="G685" s="35"/>
      <c r="H685" s="34"/>
      <c r="I685" s="5" t="str">
        <f t="shared" si="50"/>
        <v/>
      </c>
      <c r="J685" s="12" t="str">
        <f t="shared" si="51"/>
        <v/>
      </c>
      <c r="K685" s="37" t="str">
        <f>IF(A685="","",Inputs!$B$11-B685)</f>
        <v/>
      </c>
      <c r="L685" s="5" t="str">
        <f>IF(A685="","",IF(I685&lt;=0,"Sold out",IF(K685&gt;=Inputs!$B$18,"Dead",IF(K685&gt;=Inputs!$B$17,"Ageing",IF(K685&gt;=Inputs!$B$16,"Watch","Fresh")))))</f>
        <v/>
      </c>
      <c r="M685" s="5" t="str">
        <f t="shared" si="52"/>
        <v/>
      </c>
      <c r="N685" s="12" t="str">
        <f t="shared" si="53"/>
        <v/>
      </c>
      <c r="O685" s="36" t="str">
        <f t="shared" si="54"/>
        <v/>
      </c>
    </row>
    <row r="686" spans="1:15" x14ac:dyDescent="0.25">
      <c r="A686" s="34"/>
      <c r="B686" s="33"/>
      <c r="C686" s="34"/>
      <c r="D686" s="34"/>
      <c r="E686" s="34"/>
      <c r="F686" s="34"/>
      <c r="G686" s="35"/>
      <c r="H686" s="34"/>
      <c r="I686" s="5" t="str">
        <f t="shared" si="50"/>
        <v/>
      </c>
      <c r="J686" s="12" t="str">
        <f t="shared" si="51"/>
        <v/>
      </c>
      <c r="K686" s="37" t="str">
        <f>IF(A686="","",Inputs!$B$11-B686)</f>
        <v/>
      </c>
      <c r="L686" s="5" t="str">
        <f>IF(A686="","",IF(I686&lt;=0,"Sold out",IF(K686&gt;=Inputs!$B$18,"Dead",IF(K686&gt;=Inputs!$B$17,"Ageing",IF(K686&gt;=Inputs!$B$16,"Watch","Fresh")))))</f>
        <v/>
      </c>
      <c r="M686" s="5" t="str">
        <f t="shared" si="52"/>
        <v/>
      </c>
      <c r="N686" s="12" t="str">
        <f t="shared" si="53"/>
        <v/>
      </c>
      <c r="O686" s="36" t="str">
        <f t="shared" si="54"/>
        <v/>
      </c>
    </row>
    <row r="687" spans="1:15" x14ac:dyDescent="0.25">
      <c r="A687" s="34"/>
      <c r="B687" s="33"/>
      <c r="C687" s="34"/>
      <c r="D687" s="34"/>
      <c r="E687" s="34"/>
      <c r="F687" s="34"/>
      <c r="G687" s="35"/>
      <c r="H687" s="34"/>
      <c r="I687" s="5" t="str">
        <f t="shared" si="50"/>
        <v/>
      </c>
      <c r="J687" s="12" t="str">
        <f t="shared" si="51"/>
        <v/>
      </c>
      <c r="K687" s="37" t="str">
        <f>IF(A687="","",Inputs!$B$11-B687)</f>
        <v/>
      </c>
      <c r="L687" s="5" t="str">
        <f>IF(A687="","",IF(I687&lt;=0,"Sold out",IF(K687&gt;=Inputs!$B$18,"Dead",IF(K687&gt;=Inputs!$B$17,"Ageing",IF(K687&gt;=Inputs!$B$16,"Watch","Fresh")))))</f>
        <v/>
      </c>
      <c r="M687" s="5" t="str">
        <f t="shared" si="52"/>
        <v/>
      </c>
      <c r="N687" s="12" t="str">
        <f t="shared" si="53"/>
        <v/>
      </c>
      <c r="O687" s="36" t="str">
        <f t="shared" si="54"/>
        <v/>
      </c>
    </row>
    <row r="688" spans="1:15" x14ac:dyDescent="0.25">
      <c r="A688" s="34"/>
      <c r="B688" s="33"/>
      <c r="C688" s="34"/>
      <c r="D688" s="34"/>
      <c r="E688" s="34"/>
      <c r="F688" s="34"/>
      <c r="G688" s="35"/>
      <c r="H688" s="34"/>
      <c r="I688" s="5" t="str">
        <f t="shared" si="50"/>
        <v/>
      </c>
      <c r="J688" s="12" t="str">
        <f t="shared" si="51"/>
        <v/>
      </c>
      <c r="K688" s="37" t="str">
        <f>IF(A688="","",Inputs!$B$11-B688)</f>
        <v/>
      </c>
      <c r="L688" s="5" t="str">
        <f>IF(A688="","",IF(I688&lt;=0,"Sold out",IF(K688&gt;=Inputs!$B$18,"Dead",IF(K688&gt;=Inputs!$B$17,"Ageing",IF(K688&gt;=Inputs!$B$16,"Watch","Fresh")))))</f>
        <v/>
      </c>
      <c r="M688" s="5" t="str">
        <f t="shared" si="52"/>
        <v/>
      </c>
      <c r="N688" s="12" t="str">
        <f t="shared" si="53"/>
        <v/>
      </c>
      <c r="O688" s="36" t="str">
        <f t="shared" si="54"/>
        <v/>
      </c>
    </row>
    <row r="689" spans="1:15" x14ac:dyDescent="0.25">
      <c r="A689" s="34"/>
      <c r="B689" s="33"/>
      <c r="C689" s="34"/>
      <c r="D689" s="34"/>
      <c r="E689" s="34"/>
      <c r="F689" s="34"/>
      <c r="G689" s="35"/>
      <c r="H689" s="34"/>
      <c r="I689" s="5" t="str">
        <f t="shared" si="50"/>
        <v/>
      </c>
      <c r="J689" s="12" t="str">
        <f t="shared" si="51"/>
        <v/>
      </c>
      <c r="K689" s="37" t="str">
        <f>IF(A689="","",Inputs!$B$11-B689)</f>
        <v/>
      </c>
      <c r="L689" s="5" t="str">
        <f>IF(A689="","",IF(I689&lt;=0,"Sold out",IF(K689&gt;=Inputs!$B$18,"Dead",IF(K689&gt;=Inputs!$B$17,"Ageing",IF(K689&gt;=Inputs!$B$16,"Watch","Fresh")))))</f>
        <v/>
      </c>
      <c r="M689" s="5" t="str">
        <f t="shared" si="52"/>
        <v/>
      </c>
      <c r="N689" s="12" t="str">
        <f t="shared" si="53"/>
        <v/>
      </c>
      <c r="O689" s="36" t="str">
        <f t="shared" si="54"/>
        <v/>
      </c>
    </row>
    <row r="690" spans="1:15" x14ac:dyDescent="0.25">
      <c r="A690" s="34"/>
      <c r="B690" s="33"/>
      <c r="C690" s="34"/>
      <c r="D690" s="34"/>
      <c r="E690" s="34"/>
      <c r="F690" s="34"/>
      <c r="G690" s="35"/>
      <c r="H690" s="34"/>
      <c r="I690" s="5" t="str">
        <f t="shared" si="50"/>
        <v/>
      </c>
      <c r="J690" s="12" t="str">
        <f t="shared" si="51"/>
        <v/>
      </c>
      <c r="K690" s="37" t="str">
        <f>IF(A690="","",Inputs!$B$11-B690)</f>
        <v/>
      </c>
      <c r="L690" s="5" t="str">
        <f>IF(A690="","",IF(I690&lt;=0,"Sold out",IF(K690&gt;=Inputs!$B$18,"Dead",IF(K690&gt;=Inputs!$B$17,"Ageing",IF(K690&gt;=Inputs!$B$16,"Watch","Fresh")))))</f>
        <v/>
      </c>
      <c r="M690" s="5" t="str">
        <f t="shared" si="52"/>
        <v/>
      </c>
      <c r="N690" s="12" t="str">
        <f t="shared" si="53"/>
        <v/>
      </c>
      <c r="O690" s="36" t="str">
        <f t="shared" si="54"/>
        <v/>
      </c>
    </row>
    <row r="691" spans="1:15" x14ac:dyDescent="0.25">
      <c r="A691" s="34"/>
      <c r="B691" s="33"/>
      <c r="C691" s="34"/>
      <c r="D691" s="34"/>
      <c r="E691" s="34"/>
      <c r="F691" s="34"/>
      <c r="G691" s="35"/>
      <c r="H691" s="34"/>
      <c r="I691" s="5" t="str">
        <f t="shared" si="50"/>
        <v/>
      </c>
      <c r="J691" s="12" t="str">
        <f t="shared" si="51"/>
        <v/>
      </c>
      <c r="K691" s="37" t="str">
        <f>IF(A691="","",Inputs!$B$11-B691)</f>
        <v/>
      </c>
      <c r="L691" s="5" t="str">
        <f>IF(A691="","",IF(I691&lt;=0,"Sold out",IF(K691&gt;=Inputs!$B$18,"Dead",IF(K691&gt;=Inputs!$B$17,"Ageing",IF(K691&gt;=Inputs!$B$16,"Watch","Fresh")))))</f>
        <v/>
      </c>
      <c r="M691" s="5" t="str">
        <f t="shared" si="52"/>
        <v/>
      </c>
      <c r="N691" s="12" t="str">
        <f t="shared" si="53"/>
        <v/>
      </c>
      <c r="O691" s="36" t="str">
        <f t="shared" si="54"/>
        <v/>
      </c>
    </row>
    <row r="692" spans="1:15" x14ac:dyDescent="0.25">
      <c r="A692" s="34"/>
      <c r="B692" s="33"/>
      <c r="C692" s="34"/>
      <c r="D692" s="34"/>
      <c r="E692" s="34"/>
      <c r="F692" s="34"/>
      <c r="G692" s="35"/>
      <c r="H692" s="34"/>
      <c r="I692" s="5" t="str">
        <f t="shared" si="50"/>
        <v/>
      </c>
      <c r="J692" s="12" t="str">
        <f t="shared" si="51"/>
        <v/>
      </c>
      <c r="K692" s="37" t="str">
        <f>IF(A692="","",Inputs!$B$11-B692)</f>
        <v/>
      </c>
      <c r="L692" s="5" t="str">
        <f>IF(A692="","",IF(I692&lt;=0,"Sold out",IF(K692&gt;=Inputs!$B$18,"Dead",IF(K692&gt;=Inputs!$B$17,"Ageing",IF(K692&gt;=Inputs!$B$16,"Watch","Fresh")))))</f>
        <v/>
      </c>
      <c r="M692" s="5" t="str">
        <f t="shared" si="52"/>
        <v/>
      </c>
      <c r="N692" s="12" t="str">
        <f t="shared" si="53"/>
        <v/>
      </c>
      <c r="O692" s="36" t="str">
        <f t="shared" si="54"/>
        <v/>
      </c>
    </row>
    <row r="693" spans="1:15" x14ac:dyDescent="0.25">
      <c r="A693" s="34"/>
      <c r="B693" s="33"/>
      <c r="C693" s="34"/>
      <c r="D693" s="34"/>
      <c r="E693" s="34"/>
      <c r="F693" s="34"/>
      <c r="G693" s="35"/>
      <c r="H693" s="34"/>
      <c r="I693" s="5" t="str">
        <f t="shared" si="50"/>
        <v/>
      </c>
      <c r="J693" s="12" t="str">
        <f t="shared" si="51"/>
        <v/>
      </c>
      <c r="K693" s="37" t="str">
        <f>IF(A693="","",Inputs!$B$11-B693)</f>
        <v/>
      </c>
      <c r="L693" s="5" t="str">
        <f>IF(A693="","",IF(I693&lt;=0,"Sold out",IF(K693&gt;=Inputs!$B$18,"Dead",IF(K693&gt;=Inputs!$B$17,"Ageing",IF(K693&gt;=Inputs!$B$16,"Watch","Fresh")))))</f>
        <v/>
      </c>
      <c r="M693" s="5" t="str">
        <f t="shared" si="52"/>
        <v/>
      </c>
      <c r="N693" s="12" t="str">
        <f t="shared" si="53"/>
        <v/>
      </c>
      <c r="O693" s="36" t="str">
        <f t="shared" si="54"/>
        <v/>
      </c>
    </row>
    <row r="694" spans="1:15" x14ac:dyDescent="0.25">
      <c r="A694" s="34"/>
      <c r="B694" s="33"/>
      <c r="C694" s="34"/>
      <c r="D694" s="34"/>
      <c r="E694" s="34"/>
      <c r="F694" s="34"/>
      <c r="G694" s="35"/>
      <c r="H694" s="34"/>
      <c r="I694" s="5" t="str">
        <f t="shared" si="50"/>
        <v/>
      </c>
      <c r="J694" s="12" t="str">
        <f t="shared" si="51"/>
        <v/>
      </c>
      <c r="K694" s="37" t="str">
        <f>IF(A694="","",Inputs!$B$11-B694)</f>
        <v/>
      </c>
      <c r="L694" s="5" t="str">
        <f>IF(A694="","",IF(I694&lt;=0,"Sold out",IF(K694&gt;=Inputs!$B$18,"Dead",IF(K694&gt;=Inputs!$B$17,"Ageing",IF(K694&gt;=Inputs!$B$16,"Watch","Fresh")))))</f>
        <v/>
      </c>
      <c r="M694" s="5" t="str">
        <f t="shared" si="52"/>
        <v/>
      </c>
      <c r="N694" s="12" t="str">
        <f t="shared" si="53"/>
        <v/>
      </c>
      <c r="O694" s="36" t="str">
        <f t="shared" si="54"/>
        <v/>
      </c>
    </row>
    <row r="695" spans="1:15" x14ac:dyDescent="0.25">
      <c r="A695" s="34"/>
      <c r="B695" s="33"/>
      <c r="C695" s="34"/>
      <c r="D695" s="34"/>
      <c r="E695" s="34"/>
      <c r="F695" s="34"/>
      <c r="G695" s="35"/>
      <c r="H695" s="34"/>
      <c r="I695" s="5" t="str">
        <f t="shared" si="50"/>
        <v/>
      </c>
      <c r="J695" s="12" t="str">
        <f t="shared" si="51"/>
        <v/>
      </c>
      <c r="K695" s="37" t="str">
        <f>IF(A695="","",Inputs!$B$11-B695)</f>
        <v/>
      </c>
      <c r="L695" s="5" t="str">
        <f>IF(A695="","",IF(I695&lt;=0,"Sold out",IF(K695&gt;=Inputs!$B$18,"Dead",IF(K695&gt;=Inputs!$B$17,"Ageing",IF(K695&gt;=Inputs!$B$16,"Watch","Fresh")))))</f>
        <v/>
      </c>
      <c r="M695" s="5" t="str">
        <f t="shared" si="52"/>
        <v/>
      </c>
      <c r="N695" s="12" t="str">
        <f t="shared" si="53"/>
        <v/>
      </c>
      <c r="O695" s="36" t="str">
        <f t="shared" si="54"/>
        <v/>
      </c>
    </row>
    <row r="696" spans="1:15" x14ac:dyDescent="0.25">
      <c r="A696" s="34"/>
      <c r="B696" s="33"/>
      <c r="C696" s="34"/>
      <c r="D696" s="34"/>
      <c r="E696" s="34"/>
      <c r="F696" s="34"/>
      <c r="G696" s="35"/>
      <c r="H696" s="34"/>
      <c r="I696" s="5" t="str">
        <f t="shared" si="50"/>
        <v/>
      </c>
      <c r="J696" s="12" t="str">
        <f t="shared" si="51"/>
        <v/>
      </c>
      <c r="K696" s="37" t="str">
        <f>IF(A696="","",Inputs!$B$11-B696)</f>
        <v/>
      </c>
      <c r="L696" s="5" t="str">
        <f>IF(A696="","",IF(I696&lt;=0,"Sold out",IF(K696&gt;=Inputs!$B$18,"Dead",IF(K696&gt;=Inputs!$B$17,"Ageing",IF(K696&gt;=Inputs!$B$16,"Watch","Fresh")))))</f>
        <v/>
      </c>
      <c r="M696" s="5" t="str">
        <f t="shared" si="52"/>
        <v/>
      </c>
      <c r="N696" s="12" t="str">
        <f t="shared" si="53"/>
        <v/>
      </c>
      <c r="O696" s="36" t="str">
        <f t="shared" si="54"/>
        <v/>
      </c>
    </row>
    <row r="697" spans="1:15" x14ac:dyDescent="0.25">
      <c r="A697" s="34"/>
      <c r="B697" s="33"/>
      <c r="C697" s="34"/>
      <c r="D697" s="34"/>
      <c r="E697" s="34"/>
      <c r="F697" s="34"/>
      <c r="G697" s="35"/>
      <c r="H697" s="34"/>
      <c r="I697" s="5" t="str">
        <f t="shared" si="50"/>
        <v/>
      </c>
      <c r="J697" s="12" t="str">
        <f t="shared" si="51"/>
        <v/>
      </c>
      <c r="K697" s="37" t="str">
        <f>IF(A697="","",Inputs!$B$11-B697)</f>
        <v/>
      </c>
      <c r="L697" s="5" t="str">
        <f>IF(A697="","",IF(I697&lt;=0,"Sold out",IF(K697&gt;=Inputs!$B$18,"Dead",IF(K697&gt;=Inputs!$B$17,"Ageing",IF(K697&gt;=Inputs!$B$16,"Watch","Fresh")))))</f>
        <v/>
      </c>
      <c r="M697" s="5" t="str">
        <f t="shared" si="52"/>
        <v/>
      </c>
      <c r="N697" s="12" t="str">
        <f t="shared" si="53"/>
        <v/>
      </c>
      <c r="O697" s="36" t="str">
        <f t="shared" si="54"/>
        <v/>
      </c>
    </row>
    <row r="698" spans="1:15" x14ac:dyDescent="0.25">
      <c r="A698" s="34"/>
      <c r="B698" s="33"/>
      <c r="C698" s="34"/>
      <c r="D698" s="34"/>
      <c r="E698" s="34"/>
      <c r="F698" s="34"/>
      <c r="G698" s="35"/>
      <c r="H698" s="34"/>
      <c r="I698" s="5" t="str">
        <f t="shared" si="50"/>
        <v/>
      </c>
      <c r="J698" s="12" t="str">
        <f t="shared" si="51"/>
        <v/>
      </c>
      <c r="K698" s="37" t="str">
        <f>IF(A698="","",Inputs!$B$11-B698)</f>
        <v/>
      </c>
      <c r="L698" s="5" t="str">
        <f>IF(A698="","",IF(I698&lt;=0,"Sold out",IF(K698&gt;=Inputs!$B$18,"Dead",IF(K698&gt;=Inputs!$B$17,"Ageing",IF(K698&gt;=Inputs!$B$16,"Watch","Fresh")))))</f>
        <v/>
      </c>
      <c r="M698" s="5" t="str">
        <f t="shared" si="52"/>
        <v/>
      </c>
      <c r="N698" s="12" t="str">
        <f t="shared" si="53"/>
        <v/>
      </c>
      <c r="O698" s="36" t="str">
        <f t="shared" si="54"/>
        <v/>
      </c>
    </row>
    <row r="699" spans="1:15" x14ac:dyDescent="0.25">
      <c r="A699" s="34"/>
      <c r="B699" s="33"/>
      <c r="C699" s="34"/>
      <c r="D699" s="34"/>
      <c r="E699" s="34"/>
      <c r="F699" s="34"/>
      <c r="G699" s="35"/>
      <c r="H699" s="34"/>
      <c r="I699" s="5" t="str">
        <f t="shared" si="50"/>
        <v/>
      </c>
      <c r="J699" s="12" t="str">
        <f t="shared" si="51"/>
        <v/>
      </c>
      <c r="K699" s="37" t="str">
        <f>IF(A699="","",Inputs!$B$11-B699)</f>
        <v/>
      </c>
      <c r="L699" s="5" t="str">
        <f>IF(A699="","",IF(I699&lt;=0,"Sold out",IF(K699&gt;=Inputs!$B$18,"Dead",IF(K699&gt;=Inputs!$B$17,"Ageing",IF(K699&gt;=Inputs!$B$16,"Watch","Fresh")))))</f>
        <v/>
      </c>
      <c r="M699" s="5" t="str">
        <f t="shared" si="52"/>
        <v/>
      </c>
      <c r="N699" s="12" t="str">
        <f t="shared" si="53"/>
        <v/>
      </c>
      <c r="O699" s="36" t="str">
        <f t="shared" si="54"/>
        <v/>
      </c>
    </row>
    <row r="700" spans="1:15" x14ac:dyDescent="0.25">
      <c r="A700" s="34"/>
      <c r="B700" s="33"/>
      <c r="C700" s="34"/>
      <c r="D700" s="34"/>
      <c r="E700" s="34"/>
      <c r="F700" s="34"/>
      <c r="G700" s="35"/>
      <c r="H700" s="34"/>
      <c r="I700" s="5" t="str">
        <f t="shared" si="50"/>
        <v/>
      </c>
      <c r="J700" s="12" t="str">
        <f t="shared" si="51"/>
        <v/>
      </c>
      <c r="K700" s="37" t="str">
        <f>IF(A700="","",Inputs!$B$11-B700)</f>
        <v/>
      </c>
      <c r="L700" s="5" t="str">
        <f>IF(A700="","",IF(I700&lt;=0,"Sold out",IF(K700&gt;=Inputs!$B$18,"Dead",IF(K700&gt;=Inputs!$B$17,"Ageing",IF(K700&gt;=Inputs!$B$16,"Watch","Fresh")))))</f>
        <v/>
      </c>
      <c r="M700" s="5" t="str">
        <f t="shared" si="52"/>
        <v/>
      </c>
      <c r="N700" s="12" t="str">
        <f t="shared" si="53"/>
        <v/>
      </c>
      <c r="O700" s="36" t="str">
        <f t="shared" si="54"/>
        <v/>
      </c>
    </row>
    <row r="701" spans="1:15" x14ac:dyDescent="0.25">
      <c r="A701" s="34"/>
      <c r="B701" s="33"/>
      <c r="C701" s="34"/>
      <c r="D701" s="34"/>
      <c r="E701" s="34"/>
      <c r="F701" s="34"/>
      <c r="G701" s="35"/>
      <c r="H701" s="34"/>
      <c r="I701" s="5" t="str">
        <f t="shared" si="50"/>
        <v/>
      </c>
      <c r="J701" s="12" t="str">
        <f t="shared" si="51"/>
        <v/>
      </c>
      <c r="K701" s="37" t="str">
        <f>IF(A701="","",Inputs!$B$11-B701)</f>
        <v/>
      </c>
      <c r="L701" s="5" t="str">
        <f>IF(A701="","",IF(I701&lt;=0,"Sold out",IF(K701&gt;=Inputs!$B$18,"Dead",IF(K701&gt;=Inputs!$B$17,"Ageing",IF(K701&gt;=Inputs!$B$16,"Watch","Fresh")))))</f>
        <v/>
      </c>
      <c r="M701" s="5" t="str">
        <f t="shared" si="52"/>
        <v/>
      </c>
      <c r="N701" s="12" t="str">
        <f t="shared" si="53"/>
        <v/>
      </c>
      <c r="O701" s="36" t="str">
        <f t="shared" si="54"/>
        <v/>
      </c>
    </row>
    <row r="702" spans="1:15" x14ac:dyDescent="0.25">
      <c r="A702" s="34"/>
      <c r="B702" s="33"/>
      <c r="C702" s="34"/>
      <c r="D702" s="34"/>
      <c r="E702" s="34"/>
      <c r="F702" s="34"/>
      <c r="G702" s="35"/>
      <c r="H702" s="34"/>
      <c r="I702" s="5" t="str">
        <f t="shared" si="50"/>
        <v/>
      </c>
      <c r="J702" s="12" t="str">
        <f t="shared" si="51"/>
        <v/>
      </c>
      <c r="K702" s="37" t="str">
        <f>IF(A702="","",Inputs!$B$11-B702)</f>
        <v/>
      </c>
      <c r="L702" s="5" t="str">
        <f>IF(A702="","",IF(I702&lt;=0,"Sold out",IF(K702&gt;=Inputs!$B$18,"Dead",IF(K702&gt;=Inputs!$B$17,"Ageing",IF(K702&gt;=Inputs!$B$16,"Watch","Fresh")))))</f>
        <v/>
      </c>
      <c r="M702" s="5" t="str">
        <f t="shared" si="52"/>
        <v/>
      </c>
      <c r="N702" s="12" t="str">
        <f t="shared" si="53"/>
        <v/>
      </c>
      <c r="O702" s="36" t="str">
        <f t="shared" si="54"/>
        <v/>
      </c>
    </row>
    <row r="703" spans="1:15" x14ac:dyDescent="0.25">
      <c r="A703" s="34"/>
      <c r="B703" s="33"/>
      <c r="C703" s="34"/>
      <c r="D703" s="34"/>
      <c r="E703" s="34"/>
      <c r="F703" s="34"/>
      <c r="G703" s="35"/>
      <c r="H703" s="34"/>
      <c r="I703" s="5" t="str">
        <f t="shared" si="50"/>
        <v/>
      </c>
      <c r="J703" s="12" t="str">
        <f t="shared" si="51"/>
        <v/>
      </c>
      <c r="K703" s="37" t="str">
        <f>IF(A703="","",Inputs!$B$11-B703)</f>
        <v/>
      </c>
      <c r="L703" s="5" t="str">
        <f>IF(A703="","",IF(I703&lt;=0,"Sold out",IF(K703&gt;=Inputs!$B$18,"Dead",IF(K703&gt;=Inputs!$B$17,"Ageing",IF(K703&gt;=Inputs!$B$16,"Watch","Fresh")))))</f>
        <v/>
      </c>
      <c r="M703" s="5" t="str">
        <f t="shared" si="52"/>
        <v/>
      </c>
      <c r="N703" s="12" t="str">
        <f t="shared" si="53"/>
        <v/>
      </c>
      <c r="O703" s="36" t="str">
        <f t="shared" si="54"/>
        <v/>
      </c>
    </row>
    <row r="704" spans="1:15" x14ac:dyDescent="0.25">
      <c r="A704" s="34"/>
      <c r="B704" s="33"/>
      <c r="C704" s="34"/>
      <c r="D704" s="34"/>
      <c r="E704" s="34"/>
      <c r="F704" s="34"/>
      <c r="G704" s="35"/>
      <c r="H704" s="34"/>
      <c r="I704" s="5" t="str">
        <f t="shared" si="50"/>
        <v/>
      </c>
      <c r="J704" s="12" t="str">
        <f t="shared" si="51"/>
        <v/>
      </c>
      <c r="K704" s="37" t="str">
        <f>IF(A704="","",Inputs!$B$11-B704)</f>
        <v/>
      </c>
      <c r="L704" s="5" t="str">
        <f>IF(A704="","",IF(I704&lt;=0,"Sold out",IF(K704&gt;=Inputs!$B$18,"Dead",IF(K704&gt;=Inputs!$B$17,"Ageing",IF(K704&gt;=Inputs!$B$16,"Watch","Fresh")))))</f>
        <v/>
      </c>
      <c r="M704" s="5" t="str">
        <f t="shared" si="52"/>
        <v/>
      </c>
      <c r="N704" s="12" t="str">
        <f t="shared" si="53"/>
        <v/>
      </c>
      <c r="O704" s="36" t="str">
        <f t="shared" si="54"/>
        <v/>
      </c>
    </row>
    <row r="705" spans="1:15" x14ac:dyDescent="0.25">
      <c r="A705" s="34"/>
      <c r="B705" s="33"/>
      <c r="C705" s="34"/>
      <c r="D705" s="34"/>
      <c r="E705" s="34"/>
      <c r="F705" s="34"/>
      <c r="G705" s="35"/>
      <c r="H705" s="34"/>
      <c r="I705" s="5" t="str">
        <f t="shared" si="50"/>
        <v/>
      </c>
      <c r="J705" s="12" t="str">
        <f t="shared" si="51"/>
        <v/>
      </c>
      <c r="K705" s="37" t="str">
        <f>IF(A705="","",Inputs!$B$11-B705)</f>
        <v/>
      </c>
      <c r="L705" s="5" t="str">
        <f>IF(A705="","",IF(I705&lt;=0,"Sold out",IF(K705&gt;=Inputs!$B$18,"Dead",IF(K705&gt;=Inputs!$B$17,"Ageing",IF(K705&gt;=Inputs!$B$16,"Watch","Fresh")))))</f>
        <v/>
      </c>
      <c r="M705" s="5" t="str">
        <f t="shared" si="52"/>
        <v/>
      </c>
      <c r="N705" s="12" t="str">
        <f t="shared" si="53"/>
        <v/>
      </c>
      <c r="O705" s="36" t="str">
        <f t="shared" si="54"/>
        <v/>
      </c>
    </row>
    <row r="706" spans="1:15" x14ac:dyDescent="0.25">
      <c r="A706" s="34"/>
      <c r="B706" s="33"/>
      <c r="C706" s="34"/>
      <c r="D706" s="34"/>
      <c r="E706" s="34"/>
      <c r="F706" s="34"/>
      <c r="G706" s="35"/>
      <c r="H706" s="34"/>
      <c r="I706" s="5" t="str">
        <f t="shared" si="50"/>
        <v/>
      </c>
      <c r="J706" s="12" t="str">
        <f t="shared" si="51"/>
        <v/>
      </c>
      <c r="K706" s="37" t="str">
        <f>IF(A706="","",Inputs!$B$11-B706)</f>
        <v/>
      </c>
      <c r="L706" s="5" t="str">
        <f>IF(A706="","",IF(I706&lt;=0,"Sold out",IF(K706&gt;=Inputs!$B$18,"Dead",IF(K706&gt;=Inputs!$B$17,"Ageing",IF(K706&gt;=Inputs!$B$16,"Watch","Fresh")))))</f>
        <v/>
      </c>
      <c r="M706" s="5" t="str">
        <f t="shared" si="52"/>
        <v/>
      </c>
      <c r="N706" s="12" t="str">
        <f t="shared" si="53"/>
        <v/>
      </c>
      <c r="O706" s="36" t="str">
        <f t="shared" si="54"/>
        <v/>
      </c>
    </row>
    <row r="707" spans="1:15" x14ac:dyDescent="0.25">
      <c r="A707" s="34"/>
      <c r="B707" s="33"/>
      <c r="C707" s="34"/>
      <c r="D707" s="34"/>
      <c r="E707" s="34"/>
      <c r="F707" s="34"/>
      <c r="G707" s="35"/>
      <c r="H707" s="34"/>
      <c r="I707" s="5" t="str">
        <f t="shared" si="50"/>
        <v/>
      </c>
      <c r="J707" s="12" t="str">
        <f t="shared" si="51"/>
        <v/>
      </c>
      <c r="K707" s="37" t="str">
        <f>IF(A707="","",Inputs!$B$11-B707)</f>
        <v/>
      </c>
      <c r="L707" s="5" t="str">
        <f>IF(A707="","",IF(I707&lt;=0,"Sold out",IF(K707&gt;=Inputs!$B$18,"Dead",IF(K707&gt;=Inputs!$B$17,"Ageing",IF(K707&gt;=Inputs!$B$16,"Watch","Fresh")))))</f>
        <v/>
      </c>
      <c r="M707" s="5" t="str">
        <f t="shared" si="52"/>
        <v/>
      </c>
      <c r="N707" s="12" t="str">
        <f t="shared" si="53"/>
        <v/>
      </c>
      <c r="O707" s="36" t="str">
        <f t="shared" si="54"/>
        <v/>
      </c>
    </row>
    <row r="708" spans="1:15" x14ac:dyDescent="0.25">
      <c r="A708" s="34"/>
      <c r="B708" s="33"/>
      <c r="C708" s="34"/>
      <c r="D708" s="34"/>
      <c r="E708" s="34"/>
      <c r="F708" s="34"/>
      <c r="G708" s="35"/>
      <c r="H708" s="34"/>
      <c r="I708" s="5" t="str">
        <f t="shared" si="50"/>
        <v/>
      </c>
      <c r="J708" s="12" t="str">
        <f t="shared" si="51"/>
        <v/>
      </c>
      <c r="K708" s="37" t="str">
        <f>IF(A708="","",Inputs!$B$11-B708)</f>
        <v/>
      </c>
      <c r="L708" s="5" t="str">
        <f>IF(A708="","",IF(I708&lt;=0,"Sold out",IF(K708&gt;=Inputs!$B$18,"Dead",IF(K708&gt;=Inputs!$B$17,"Ageing",IF(K708&gt;=Inputs!$B$16,"Watch","Fresh")))))</f>
        <v/>
      </c>
      <c r="M708" s="5" t="str">
        <f t="shared" si="52"/>
        <v/>
      </c>
      <c r="N708" s="12" t="str">
        <f t="shared" si="53"/>
        <v/>
      </c>
      <c r="O708" s="36" t="str">
        <f t="shared" si="54"/>
        <v/>
      </c>
    </row>
    <row r="709" spans="1:15" x14ac:dyDescent="0.25">
      <c r="A709" s="34"/>
      <c r="B709" s="33"/>
      <c r="C709" s="34"/>
      <c r="D709" s="34"/>
      <c r="E709" s="34"/>
      <c r="F709" s="34"/>
      <c r="G709" s="35"/>
      <c r="H709" s="34"/>
      <c r="I709" s="5" t="str">
        <f t="shared" si="50"/>
        <v/>
      </c>
      <c r="J709" s="12" t="str">
        <f t="shared" si="51"/>
        <v/>
      </c>
      <c r="K709" s="37" t="str">
        <f>IF(A709="","",Inputs!$B$11-B709)</f>
        <v/>
      </c>
      <c r="L709" s="5" t="str">
        <f>IF(A709="","",IF(I709&lt;=0,"Sold out",IF(K709&gt;=Inputs!$B$18,"Dead",IF(K709&gt;=Inputs!$B$17,"Ageing",IF(K709&gt;=Inputs!$B$16,"Watch","Fresh")))))</f>
        <v/>
      </c>
      <c r="M709" s="5" t="str">
        <f t="shared" si="52"/>
        <v/>
      </c>
      <c r="N709" s="12" t="str">
        <f t="shared" si="53"/>
        <v/>
      </c>
      <c r="O709" s="36" t="str">
        <f t="shared" si="54"/>
        <v/>
      </c>
    </row>
    <row r="710" spans="1:15" x14ac:dyDescent="0.25">
      <c r="A710" s="34"/>
      <c r="B710" s="33"/>
      <c r="C710" s="34"/>
      <c r="D710" s="34"/>
      <c r="E710" s="34"/>
      <c r="F710" s="34"/>
      <c r="G710" s="35"/>
      <c r="H710" s="34"/>
      <c r="I710" s="5" t="str">
        <f t="shared" ref="I710:I773" si="55">IF(A710="","",F710-H710)</f>
        <v/>
      </c>
      <c r="J710" s="12" t="str">
        <f t="shared" ref="J710:J773" si="56">IF(A710="","",I710*G710)</f>
        <v/>
      </c>
      <c r="K710" s="37" t="str">
        <f>IF(A710="","",Inputs!$B$11-B710)</f>
        <v/>
      </c>
      <c r="L710" s="5" t="str">
        <f>IF(A710="","",IF(I710&lt;=0,"Sold out",IF(K710&gt;=Inputs!$B$18,"Dead",IF(K710&gt;=Inputs!$B$17,"Ageing",IF(K710&gt;=Inputs!$B$16,"Watch","Fresh")))))</f>
        <v/>
      </c>
      <c r="M710" s="5" t="str">
        <f t="shared" ref="M710:M773" si="57">IF(L710="","",IF(L710="Dead","Clearance / exchange with vendor",IF(L710="Ageing","Markdown 20-30%",IF(L710="Watch","Push in reels &amp; WhatsApp broadcast",IF(L710="Fresh","OK","-")))))</f>
        <v/>
      </c>
      <c r="N710" s="12" t="str">
        <f t="shared" ref="N710:N773" si="58">IF(A710="","",F710*G710)</f>
        <v/>
      </c>
      <c r="O710" s="36" t="str">
        <f t="shared" ref="O710:O773" si="59">IF(B710="","",DATE(YEAR(B710),MONTH(B710),1))</f>
        <v/>
      </c>
    </row>
    <row r="711" spans="1:15" x14ac:dyDescent="0.25">
      <c r="A711" s="34"/>
      <c r="B711" s="33"/>
      <c r="C711" s="34"/>
      <c r="D711" s="34"/>
      <c r="E711" s="34"/>
      <c r="F711" s="34"/>
      <c r="G711" s="35"/>
      <c r="H711" s="34"/>
      <c r="I711" s="5" t="str">
        <f t="shared" si="55"/>
        <v/>
      </c>
      <c r="J711" s="12" t="str">
        <f t="shared" si="56"/>
        <v/>
      </c>
      <c r="K711" s="37" t="str">
        <f>IF(A711="","",Inputs!$B$11-B711)</f>
        <v/>
      </c>
      <c r="L711" s="5" t="str">
        <f>IF(A711="","",IF(I711&lt;=0,"Sold out",IF(K711&gt;=Inputs!$B$18,"Dead",IF(K711&gt;=Inputs!$B$17,"Ageing",IF(K711&gt;=Inputs!$B$16,"Watch","Fresh")))))</f>
        <v/>
      </c>
      <c r="M711" s="5" t="str">
        <f t="shared" si="57"/>
        <v/>
      </c>
      <c r="N711" s="12" t="str">
        <f t="shared" si="58"/>
        <v/>
      </c>
      <c r="O711" s="36" t="str">
        <f t="shared" si="59"/>
        <v/>
      </c>
    </row>
    <row r="712" spans="1:15" x14ac:dyDescent="0.25">
      <c r="A712" s="34"/>
      <c r="B712" s="33"/>
      <c r="C712" s="34"/>
      <c r="D712" s="34"/>
      <c r="E712" s="34"/>
      <c r="F712" s="34"/>
      <c r="G712" s="35"/>
      <c r="H712" s="34"/>
      <c r="I712" s="5" t="str">
        <f t="shared" si="55"/>
        <v/>
      </c>
      <c r="J712" s="12" t="str">
        <f t="shared" si="56"/>
        <v/>
      </c>
      <c r="K712" s="37" t="str">
        <f>IF(A712="","",Inputs!$B$11-B712)</f>
        <v/>
      </c>
      <c r="L712" s="5" t="str">
        <f>IF(A712="","",IF(I712&lt;=0,"Sold out",IF(K712&gt;=Inputs!$B$18,"Dead",IF(K712&gt;=Inputs!$B$17,"Ageing",IF(K712&gt;=Inputs!$B$16,"Watch","Fresh")))))</f>
        <v/>
      </c>
      <c r="M712" s="5" t="str">
        <f t="shared" si="57"/>
        <v/>
      </c>
      <c r="N712" s="12" t="str">
        <f t="shared" si="58"/>
        <v/>
      </c>
      <c r="O712" s="36" t="str">
        <f t="shared" si="59"/>
        <v/>
      </c>
    </row>
    <row r="713" spans="1:15" x14ac:dyDescent="0.25">
      <c r="A713" s="34"/>
      <c r="B713" s="33"/>
      <c r="C713" s="34"/>
      <c r="D713" s="34"/>
      <c r="E713" s="34"/>
      <c r="F713" s="34"/>
      <c r="G713" s="35"/>
      <c r="H713" s="34"/>
      <c r="I713" s="5" t="str">
        <f t="shared" si="55"/>
        <v/>
      </c>
      <c r="J713" s="12" t="str">
        <f t="shared" si="56"/>
        <v/>
      </c>
      <c r="K713" s="37" t="str">
        <f>IF(A713="","",Inputs!$B$11-B713)</f>
        <v/>
      </c>
      <c r="L713" s="5" t="str">
        <f>IF(A713="","",IF(I713&lt;=0,"Sold out",IF(K713&gt;=Inputs!$B$18,"Dead",IF(K713&gt;=Inputs!$B$17,"Ageing",IF(K713&gt;=Inputs!$B$16,"Watch","Fresh")))))</f>
        <v/>
      </c>
      <c r="M713" s="5" t="str">
        <f t="shared" si="57"/>
        <v/>
      </c>
      <c r="N713" s="12" t="str">
        <f t="shared" si="58"/>
        <v/>
      </c>
      <c r="O713" s="36" t="str">
        <f t="shared" si="59"/>
        <v/>
      </c>
    </row>
    <row r="714" spans="1:15" x14ac:dyDescent="0.25">
      <c r="A714" s="34"/>
      <c r="B714" s="33"/>
      <c r="C714" s="34"/>
      <c r="D714" s="34"/>
      <c r="E714" s="34"/>
      <c r="F714" s="34"/>
      <c r="G714" s="35"/>
      <c r="H714" s="34"/>
      <c r="I714" s="5" t="str">
        <f t="shared" si="55"/>
        <v/>
      </c>
      <c r="J714" s="12" t="str">
        <f t="shared" si="56"/>
        <v/>
      </c>
      <c r="K714" s="37" t="str">
        <f>IF(A714="","",Inputs!$B$11-B714)</f>
        <v/>
      </c>
      <c r="L714" s="5" t="str">
        <f>IF(A714="","",IF(I714&lt;=0,"Sold out",IF(K714&gt;=Inputs!$B$18,"Dead",IF(K714&gt;=Inputs!$B$17,"Ageing",IF(K714&gt;=Inputs!$B$16,"Watch","Fresh")))))</f>
        <v/>
      </c>
      <c r="M714" s="5" t="str">
        <f t="shared" si="57"/>
        <v/>
      </c>
      <c r="N714" s="12" t="str">
        <f t="shared" si="58"/>
        <v/>
      </c>
      <c r="O714" s="36" t="str">
        <f t="shared" si="59"/>
        <v/>
      </c>
    </row>
    <row r="715" spans="1:15" x14ac:dyDescent="0.25">
      <c r="A715" s="34"/>
      <c r="B715" s="33"/>
      <c r="C715" s="34"/>
      <c r="D715" s="34"/>
      <c r="E715" s="34"/>
      <c r="F715" s="34"/>
      <c r="G715" s="35"/>
      <c r="H715" s="34"/>
      <c r="I715" s="5" t="str">
        <f t="shared" si="55"/>
        <v/>
      </c>
      <c r="J715" s="12" t="str">
        <f t="shared" si="56"/>
        <v/>
      </c>
      <c r="K715" s="37" t="str">
        <f>IF(A715="","",Inputs!$B$11-B715)</f>
        <v/>
      </c>
      <c r="L715" s="5" t="str">
        <f>IF(A715="","",IF(I715&lt;=0,"Sold out",IF(K715&gt;=Inputs!$B$18,"Dead",IF(K715&gt;=Inputs!$B$17,"Ageing",IF(K715&gt;=Inputs!$B$16,"Watch","Fresh")))))</f>
        <v/>
      </c>
      <c r="M715" s="5" t="str">
        <f t="shared" si="57"/>
        <v/>
      </c>
      <c r="N715" s="12" t="str">
        <f t="shared" si="58"/>
        <v/>
      </c>
      <c r="O715" s="36" t="str">
        <f t="shared" si="59"/>
        <v/>
      </c>
    </row>
    <row r="716" spans="1:15" x14ac:dyDescent="0.25">
      <c r="A716" s="34"/>
      <c r="B716" s="33"/>
      <c r="C716" s="34"/>
      <c r="D716" s="34"/>
      <c r="E716" s="34"/>
      <c r="F716" s="34"/>
      <c r="G716" s="35"/>
      <c r="H716" s="34"/>
      <c r="I716" s="5" t="str">
        <f t="shared" si="55"/>
        <v/>
      </c>
      <c r="J716" s="12" t="str">
        <f t="shared" si="56"/>
        <v/>
      </c>
      <c r="K716" s="37" t="str">
        <f>IF(A716="","",Inputs!$B$11-B716)</f>
        <v/>
      </c>
      <c r="L716" s="5" t="str">
        <f>IF(A716="","",IF(I716&lt;=0,"Sold out",IF(K716&gt;=Inputs!$B$18,"Dead",IF(K716&gt;=Inputs!$B$17,"Ageing",IF(K716&gt;=Inputs!$B$16,"Watch","Fresh")))))</f>
        <v/>
      </c>
      <c r="M716" s="5" t="str">
        <f t="shared" si="57"/>
        <v/>
      </c>
      <c r="N716" s="12" t="str">
        <f t="shared" si="58"/>
        <v/>
      </c>
      <c r="O716" s="36" t="str">
        <f t="shared" si="59"/>
        <v/>
      </c>
    </row>
    <row r="717" spans="1:15" x14ac:dyDescent="0.25">
      <c r="A717" s="34"/>
      <c r="B717" s="33"/>
      <c r="C717" s="34"/>
      <c r="D717" s="34"/>
      <c r="E717" s="34"/>
      <c r="F717" s="34"/>
      <c r="G717" s="35"/>
      <c r="H717" s="34"/>
      <c r="I717" s="5" t="str">
        <f t="shared" si="55"/>
        <v/>
      </c>
      <c r="J717" s="12" t="str">
        <f t="shared" si="56"/>
        <v/>
      </c>
      <c r="K717" s="37" t="str">
        <f>IF(A717="","",Inputs!$B$11-B717)</f>
        <v/>
      </c>
      <c r="L717" s="5" t="str">
        <f>IF(A717="","",IF(I717&lt;=0,"Sold out",IF(K717&gt;=Inputs!$B$18,"Dead",IF(K717&gt;=Inputs!$B$17,"Ageing",IF(K717&gt;=Inputs!$B$16,"Watch","Fresh")))))</f>
        <v/>
      </c>
      <c r="M717" s="5" t="str">
        <f t="shared" si="57"/>
        <v/>
      </c>
      <c r="N717" s="12" t="str">
        <f t="shared" si="58"/>
        <v/>
      </c>
      <c r="O717" s="36" t="str">
        <f t="shared" si="59"/>
        <v/>
      </c>
    </row>
    <row r="718" spans="1:15" x14ac:dyDescent="0.25">
      <c r="A718" s="34"/>
      <c r="B718" s="33"/>
      <c r="C718" s="34"/>
      <c r="D718" s="34"/>
      <c r="E718" s="34"/>
      <c r="F718" s="34"/>
      <c r="G718" s="35"/>
      <c r="H718" s="34"/>
      <c r="I718" s="5" t="str">
        <f t="shared" si="55"/>
        <v/>
      </c>
      <c r="J718" s="12" t="str">
        <f t="shared" si="56"/>
        <v/>
      </c>
      <c r="K718" s="37" t="str">
        <f>IF(A718="","",Inputs!$B$11-B718)</f>
        <v/>
      </c>
      <c r="L718" s="5" t="str">
        <f>IF(A718="","",IF(I718&lt;=0,"Sold out",IF(K718&gt;=Inputs!$B$18,"Dead",IF(K718&gt;=Inputs!$B$17,"Ageing",IF(K718&gt;=Inputs!$B$16,"Watch","Fresh")))))</f>
        <v/>
      </c>
      <c r="M718" s="5" t="str">
        <f t="shared" si="57"/>
        <v/>
      </c>
      <c r="N718" s="12" t="str">
        <f t="shared" si="58"/>
        <v/>
      </c>
      <c r="O718" s="36" t="str">
        <f t="shared" si="59"/>
        <v/>
      </c>
    </row>
    <row r="719" spans="1:15" x14ac:dyDescent="0.25">
      <c r="A719" s="34"/>
      <c r="B719" s="33"/>
      <c r="C719" s="34"/>
      <c r="D719" s="34"/>
      <c r="E719" s="34"/>
      <c r="F719" s="34"/>
      <c r="G719" s="35"/>
      <c r="H719" s="34"/>
      <c r="I719" s="5" t="str">
        <f t="shared" si="55"/>
        <v/>
      </c>
      <c r="J719" s="12" t="str">
        <f t="shared" si="56"/>
        <v/>
      </c>
      <c r="K719" s="37" t="str">
        <f>IF(A719="","",Inputs!$B$11-B719)</f>
        <v/>
      </c>
      <c r="L719" s="5" t="str">
        <f>IF(A719="","",IF(I719&lt;=0,"Sold out",IF(K719&gt;=Inputs!$B$18,"Dead",IF(K719&gt;=Inputs!$B$17,"Ageing",IF(K719&gt;=Inputs!$B$16,"Watch","Fresh")))))</f>
        <v/>
      </c>
      <c r="M719" s="5" t="str">
        <f t="shared" si="57"/>
        <v/>
      </c>
      <c r="N719" s="12" t="str">
        <f t="shared" si="58"/>
        <v/>
      </c>
      <c r="O719" s="36" t="str">
        <f t="shared" si="59"/>
        <v/>
      </c>
    </row>
    <row r="720" spans="1:15" x14ac:dyDescent="0.25">
      <c r="A720" s="34"/>
      <c r="B720" s="33"/>
      <c r="C720" s="34"/>
      <c r="D720" s="34"/>
      <c r="E720" s="34"/>
      <c r="F720" s="34"/>
      <c r="G720" s="35"/>
      <c r="H720" s="34"/>
      <c r="I720" s="5" t="str">
        <f t="shared" si="55"/>
        <v/>
      </c>
      <c r="J720" s="12" t="str">
        <f t="shared" si="56"/>
        <v/>
      </c>
      <c r="K720" s="37" t="str">
        <f>IF(A720="","",Inputs!$B$11-B720)</f>
        <v/>
      </c>
      <c r="L720" s="5" t="str">
        <f>IF(A720="","",IF(I720&lt;=0,"Sold out",IF(K720&gt;=Inputs!$B$18,"Dead",IF(K720&gt;=Inputs!$B$17,"Ageing",IF(K720&gt;=Inputs!$B$16,"Watch","Fresh")))))</f>
        <v/>
      </c>
      <c r="M720" s="5" t="str">
        <f t="shared" si="57"/>
        <v/>
      </c>
      <c r="N720" s="12" t="str">
        <f t="shared" si="58"/>
        <v/>
      </c>
      <c r="O720" s="36" t="str">
        <f t="shared" si="59"/>
        <v/>
      </c>
    </row>
    <row r="721" spans="1:15" x14ac:dyDescent="0.25">
      <c r="A721" s="34"/>
      <c r="B721" s="33"/>
      <c r="C721" s="34"/>
      <c r="D721" s="34"/>
      <c r="E721" s="34"/>
      <c r="F721" s="34"/>
      <c r="G721" s="35"/>
      <c r="H721" s="34"/>
      <c r="I721" s="5" t="str">
        <f t="shared" si="55"/>
        <v/>
      </c>
      <c r="J721" s="12" t="str">
        <f t="shared" si="56"/>
        <v/>
      </c>
      <c r="K721" s="37" t="str">
        <f>IF(A721="","",Inputs!$B$11-B721)</f>
        <v/>
      </c>
      <c r="L721" s="5" t="str">
        <f>IF(A721="","",IF(I721&lt;=0,"Sold out",IF(K721&gt;=Inputs!$B$18,"Dead",IF(K721&gt;=Inputs!$B$17,"Ageing",IF(K721&gt;=Inputs!$B$16,"Watch","Fresh")))))</f>
        <v/>
      </c>
      <c r="M721" s="5" t="str">
        <f t="shared" si="57"/>
        <v/>
      </c>
      <c r="N721" s="12" t="str">
        <f t="shared" si="58"/>
        <v/>
      </c>
      <c r="O721" s="36" t="str">
        <f t="shared" si="59"/>
        <v/>
      </c>
    </row>
    <row r="722" spans="1:15" x14ac:dyDescent="0.25">
      <c r="A722" s="34"/>
      <c r="B722" s="33"/>
      <c r="C722" s="34"/>
      <c r="D722" s="34"/>
      <c r="E722" s="34"/>
      <c r="F722" s="34"/>
      <c r="G722" s="35"/>
      <c r="H722" s="34"/>
      <c r="I722" s="5" t="str">
        <f t="shared" si="55"/>
        <v/>
      </c>
      <c r="J722" s="12" t="str">
        <f t="shared" si="56"/>
        <v/>
      </c>
      <c r="K722" s="37" t="str">
        <f>IF(A722="","",Inputs!$B$11-B722)</f>
        <v/>
      </c>
      <c r="L722" s="5" t="str">
        <f>IF(A722="","",IF(I722&lt;=0,"Sold out",IF(K722&gt;=Inputs!$B$18,"Dead",IF(K722&gt;=Inputs!$B$17,"Ageing",IF(K722&gt;=Inputs!$B$16,"Watch","Fresh")))))</f>
        <v/>
      </c>
      <c r="M722" s="5" t="str">
        <f t="shared" si="57"/>
        <v/>
      </c>
      <c r="N722" s="12" t="str">
        <f t="shared" si="58"/>
        <v/>
      </c>
      <c r="O722" s="36" t="str">
        <f t="shared" si="59"/>
        <v/>
      </c>
    </row>
    <row r="723" spans="1:15" x14ac:dyDescent="0.25">
      <c r="A723" s="34"/>
      <c r="B723" s="33"/>
      <c r="C723" s="34"/>
      <c r="D723" s="34"/>
      <c r="E723" s="34"/>
      <c r="F723" s="34"/>
      <c r="G723" s="35"/>
      <c r="H723" s="34"/>
      <c r="I723" s="5" t="str">
        <f t="shared" si="55"/>
        <v/>
      </c>
      <c r="J723" s="12" t="str">
        <f t="shared" si="56"/>
        <v/>
      </c>
      <c r="K723" s="37" t="str">
        <f>IF(A723="","",Inputs!$B$11-B723)</f>
        <v/>
      </c>
      <c r="L723" s="5" t="str">
        <f>IF(A723="","",IF(I723&lt;=0,"Sold out",IF(K723&gt;=Inputs!$B$18,"Dead",IF(K723&gt;=Inputs!$B$17,"Ageing",IF(K723&gt;=Inputs!$B$16,"Watch","Fresh")))))</f>
        <v/>
      </c>
      <c r="M723" s="5" t="str">
        <f t="shared" si="57"/>
        <v/>
      </c>
      <c r="N723" s="12" t="str">
        <f t="shared" si="58"/>
        <v/>
      </c>
      <c r="O723" s="36" t="str">
        <f t="shared" si="59"/>
        <v/>
      </c>
    </row>
    <row r="724" spans="1:15" x14ac:dyDescent="0.25">
      <c r="A724" s="34"/>
      <c r="B724" s="33"/>
      <c r="C724" s="34"/>
      <c r="D724" s="34"/>
      <c r="E724" s="34"/>
      <c r="F724" s="34"/>
      <c r="G724" s="35"/>
      <c r="H724" s="34"/>
      <c r="I724" s="5" t="str">
        <f t="shared" si="55"/>
        <v/>
      </c>
      <c r="J724" s="12" t="str">
        <f t="shared" si="56"/>
        <v/>
      </c>
      <c r="K724" s="37" t="str">
        <f>IF(A724="","",Inputs!$B$11-B724)</f>
        <v/>
      </c>
      <c r="L724" s="5" t="str">
        <f>IF(A724="","",IF(I724&lt;=0,"Sold out",IF(K724&gt;=Inputs!$B$18,"Dead",IF(K724&gt;=Inputs!$B$17,"Ageing",IF(K724&gt;=Inputs!$B$16,"Watch","Fresh")))))</f>
        <v/>
      </c>
      <c r="M724" s="5" t="str">
        <f t="shared" si="57"/>
        <v/>
      </c>
      <c r="N724" s="12" t="str">
        <f t="shared" si="58"/>
        <v/>
      </c>
      <c r="O724" s="36" t="str">
        <f t="shared" si="59"/>
        <v/>
      </c>
    </row>
    <row r="725" spans="1:15" x14ac:dyDescent="0.25">
      <c r="A725" s="34"/>
      <c r="B725" s="33"/>
      <c r="C725" s="34"/>
      <c r="D725" s="34"/>
      <c r="E725" s="34"/>
      <c r="F725" s="34"/>
      <c r="G725" s="35"/>
      <c r="H725" s="34"/>
      <c r="I725" s="5" t="str">
        <f t="shared" si="55"/>
        <v/>
      </c>
      <c r="J725" s="12" t="str">
        <f t="shared" si="56"/>
        <v/>
      </c>
      <c r="K725" s="37" t="str">
        <f>IF(A725="","",Inputs!$B$11-B725)</f>
        <v/>
      </c>
      <c r="L725" s="5" t="str">
        <f>IF(A725="","",IF(I725&lt;=0,"Sold out",IF(K725&gt;=Inputs!$B$18,"Dead",IF(K725&gt;=Inputs!$B$17,"Ageing",IF(K725&gt;=Inputs!$B$16,"Watch","Fresh")))))</f>
        <v/>
      </c>
      <c r="M725" s="5" t="str">
        <f t="shared" si="57"/>
        <v/>
      </c>
      <c r="N725" s="12" t="str">
        <f t="shared" si="58"/>
        <v/>
      </c>
      <c r="O725" s="36" t="str">
        <f t="shared" si="59"/>
        <v/>
      </c>
    </row>
    <row r="726" spans="1:15" x14ac:dyDescent="0.25">
      <c r="A726" s="34"/>
      <c r="B726" s="33"/>
      <c r="C726" s="34"/>
      <c r="D726" s="34"/>
      <c r="E726" s="34"/>
      <c r="F726" s="34"/>
      <c r="G726" s="35"/>
      <c r="H726" s="34"/>
      <c r="I726" s="5" t="str">
        <f t="shared" si="55"/>
        <v/>
      </c>
      <c r="J726" s="12" t="str">
        <f t="shared" si="56"/>
        <v/>
      </c>
      <c r="K726" s="37" t="str">
        <f>IF(A726="","",Inputs!$B$11-B726)</f>
        <v/>
      </c>
      <c r="L726" s="5" t="str">
        <f>IF(A726="","",IF(I726&lt;=0,"Sold out",IF(K726&gt;=Inputs!$B$18,"Dead",IF(K726&gt;=Inputs!$B$17,"Ageing",IF(K726&gt;=Inputs!$B$16,"Watch","Fresh")))))</f>
        <v/>
      </c>
      <c r="M726" s="5" t="str">
        <f t="shared" si="57"/>
        <v/>
      </c>
      <c r="N726" s="12" t="str">
        <f t="shared" si="58"/>
        <v/>
      </c>
      <c r="O726" s="36" t="str">
        <f t="shared" si="59"/>
        <v/>
      </c>
    </row>
    <row r="727" spans="1:15" x14ac:dyDescent="0.25">
      <c r="A727" s="34"/>
      <c r="B727" s="33"/>
      <c r="C727" s="34"/>
      <c r="D727" s="34"/>
      <c r="E727" s="34"/>
      <c r="F727" s="34"/>
      <c r="G727" s="35"/>
      <c r="H727" s="34"/>
      <c r="I727" s="5" t="str">
        <f t="shared" si="55"/>
        <v/>
      </c>
      <c r="J727" s="12" t="str">
        <f t="shared" si="56"/>
        <v/>
      </c>
      <c r="K727" s="37" t="str">
        <f>IF(A727="","",Inputs!$B$11-B727)</f>
        <v/>
      </c>
      <c r="L727" s="5" t="str">
        <f>IF(A727="","",IF(I727&lt;=0,"Sold out",IF(K727&gt;=Inputs!$B$18,"Dead",IF(K727&gt;=Inputs!$B$17,"Ageing",IF(K727&gt;=Inputs!$B$16,"Watch","Fresh")))))</f>
        <v/>
      </c>
      <c r="M727" s="5" t="str">
        <f t="shared" si="57"/>
        <v/>
      </c>
      <c r="N727" s="12" t="str">
        <f t="shared" si="58"/>
        <v/>
      </c>
      <c r="O727" s="36" t="str">
        <f t="shared" si="59"/>
        <v/>
      </c>
    </row>
    <row r="728" spans="1:15" x14ac:dyDescent="0.25">
      <c r="A728" s="34"/>
      <c r="B728" s="33"/>
      <c r="C728" s="34"/>
      <c r="D728" s="34"/>
      <c r="E728" s="34"/>
      <c r="F728" s="34"/>
      <c r="G728" s="35"/>
      <c r="H728" s="34"/>
      <c r="I728" s="5" t="str">
        <f t="shared" si="55"/>
        <v/>
      </c>
      <c r="J728" s="12" t="str">
        <f t="shared" si="56"/>
        <v/>
      </c>
      <c r="K728" s="37" t="str">
        <f>IF(A728="","",Inputs!$B$11-B728)</f>
        <v/>
      </c>
      <c r="L728" s="5" t="str">
        <f>IF(A728="","",IF(I728&lt;=0,"Sold out",IF(K728&gt;=Inputs!$B$18,"Dead",IF(K728&gt;=Inputs!$B$17,"Ageing",IF(K728&gt;=Inputs!$B$16,"Watch","Fresh")))))</f>
        <v/>
      </c>
      <c r="M728" s="5" t="str">
        <f t="shared" si="57"/>
        <v/>
      </c>
      <c r="N728" s="12" t="str">
        <f t="shared" si="58"/>
        <v/>
      </c>
      <c r="O728" s="36" t="str">
        <f t="shared" si="59"/>
        <v/>
      </c>
    </row>
    <row r="729" spans="1:15" x14ac:dyDescent="0.25">
      <c r="A729" s="34"/>
      <c r="B729" s="33"/>
      <c r="C729" s="34"/>
      <c r="D729" s="34"/>
      <c r="E729" s="34"/>
      <c r="F729" s="34"/>
      <c r="G729" s="35"/>
      <c r="H729" s="34"/>
      <c r="I729" s="5" t="str">
        <f t="shared" si="55"/>
        <v/>
      </c>
      <c r="J729" s="12" t="str">
        <f t="shared" si="56"/>
        <v/>
      </c>
      <c r="K729" s="37" t="str">
        <f>IF(A729="","",Inputs!$B$11-B729)</f>
        <v/>
      </c>
      <c r="L729" s="5" t="str">
        <f>IF(A729="","",IF(I729&lt;=0,"Sold out",IF(K729&gt;=Inputs!$B$18,"Dead",IF(K729&gt;=Inputs!$B$17,"Ageing",IF(K729&gt;=Inputs!$B$16,"Watch","Fresh")))))</f>
        <v/>
      </c>
      <c r="M729" s="5" t="str">
        <f t="shared" si="57"/>
        <v/>
      </c>
      <c r="N729" s="12" t="str">
        <f t="shared" si="58"/>
        <v/>
      </c>
      <c r="O729" s="36" t="str">
        <f t="shared" si="59"/>
        <v/>
      </c>
    </row>
    <row r="730" spans="1:15" x14ac:dyDescent="0.25">
      <c r="A730" s="34"/>
      <c r="B730" s="33"/>
      <c r="C730" s="34"/>
      <c r="D730" s="34"/>
      <c r="E730" s="34"/>
      <c r="F730" s="34"/>
      <c r="G730" s="35"/>
      <c r="H730" s="34"/>
      <c r="I730" s="5" t="str">
        <f t="shared" si="55"/>
        <v/>
      </c>
      <c r="J730" s="12" t="str">
        <f t="shared" si="56"/>
        <v/>
      </c>
      <c r="K730" s="37" t="str">
        <f>IF(A730="","",Inputs!$B$11-B730)</f>
        <v/>
      </c>
      <c r="L730" s="5" t="str">
        <f>IF(A730="","",IF(I730&lt;=0,"Sold out",IF(K730&gt;=Inputs!$B$18,"Dead",IF(K730&gt;=Inputs!$B$17,"Ageing",IF(K730&gt;=Inputs!$B$16,"Watch","Fresh")))))</f>
        <v/>
      </c>
      <c r="M730" s="5" t="str">
        <f t="shared" si="57"/>
        <v/>
      </c>
      <c r="N730" s="12" t="str">
        <f t="shared" si="58"/>
        <v/>
      </c>
      <c r="O730" s="36" t="str">
        <f t="shared" si="59"/>
        <v/>
      </c>
    </row>
    <row r="731" spans="1:15" x14ac:dyDescent="0.25">
      <c r="A731" s="34"/>
      <c r="B731" s="33"/>
      <c r="C731" s="34"/>
      <c r="D731" s="34"/>
      <c r="E731" s="34"/>
      <c r="F731" s="34"/>
      <c r="G731" s="35"/>
      <c r="H731" s="34"/>
      <c r="I731" s="5" t="str">
        <f t="shared" si="55"/>
        <v/>
      </c>
      <c r="J731" s="12" t="str">
        <f t="shared" si="56"/>
        <v/>
      </c>
      <c r="K731" s="37" t="str">
        <f>IF(A731="","",Inputs!$B$11-B731)</f>
        <v/>
      </c>
      <c r="L731" s="5" t="str">
        <f>IF(A731="","",IF(I731&lt;=0,"Sold out",IF(K731&gt;=Inputs!$B$18,"Dead",IF(K731&gt;=Inputs!$B$17,"Ageing",IF(K731&gt;=Inputs!$B$16,"Watch","Fresh")))))</f>
        <v/>
      </c>
      <c r="M731" s="5" t="str">
        <f t="shared" si="57"/>
        <v/>
      </c>
      <c r="N731" s="12" t="str">
        <f t="shared" si="58"/>
        <v/>
      </c>
      <c r="O731" s="36" t="str">
        <f t="shared" si="59"/>
        <v/>
      </c>
    </row>
    <row r="732" spans="1:15" x14ac:dyDescent="0.25">
      <c r="A732" s="34"/>
      <c r="B732" s="33"/>
      <c r="C732" s="34"/>
      <c r="D732" s="34"/>
      <c r="E732" s="34"/>
      <c r="F732" s="34"/>
      <c r="G732" s="35"/>
      <c r="H732" s="34"/>
      <c r="I732" s="5" t="str">
        <f t="shared" si="55"/>
        <v/>
      </c>
      <c r="J732" s="12" t="str">
        <f t="shared" si="56"/>
        <v/>
      </c>
      <c r="K732" s="37" t="str">
        <f>IF(A732="","",Inputs!$B$11-B732)</f>
        <v/>
      </c>
      <c r="L732" s="5" t="str">
        <f>IF(A732="","",IF(I732&lt;=0,"Sold out",IF(K732&gt;=Inputs!$B$18,"Dead",IF(K732&gt;=Inputs!$B$17,"Ageing",IF(K732&gt;=Inputs!$B$16,"Watch","Fresh")))))</f>
        <v/>
      </c>
      <c r="M732" s="5" t="str">
        <f t="shared" si="57"/>
        <v/>
      </c>
      <c r="N732" s="12" t="str">
        <f t="shared" si="58"/>
        <v/>
      </c>
      <c r="O732" s="36" t="str">
        <f t="shared" si="59"/>
        <v/>
      </c>
    </row>
    <row r="733" spans="1:15" x14ac:dyDescent="0.25">
      <c r="A733" s="34"/>
      <c r="B733" s="33"/>
      <c r="C733" s="34"/>
      <c r="D733" s="34"/>
      <c r="E733" s="34"/>
      <c r="F733" s="34"/>
      <c r="G733" s="35"/>
      <c r="H733" s="34"/>
      <c r="I733" s="5" t="str">
        <f t="shared" si="55"/>
        <v/>
      </c>
      <c r="J733" s="12" t="str">
        <f t="shared" si="56"/>
        <v/>
      </c>
      <c r="K733" s="37" t="str">
        <f>IF(A733="","",Inputs!$B$11-B733)</f>
        <v/>
      </c>
      <c r="L733" s="5" t="str">
        <f>IF(A733="","",IF(I733&lt;=0,"Sold out",IF(K733&gt;=Inputs!$B$18,"Dead",IF(K733&gt;=Inputs!$B$17,"Ageing",IF(K733&gt;=Inputs!$B$16,"Watch","Fresh")))))</f>
        <v/>
      </c>
      <c r="M733" s="5" t="str">
        <f t="shared" si="57"/>
        <v/>
      </c>
      <c r="N733" s="12" t="str">
        <f t="shared" si="58"/>
        <v/>
      </c>
      <c r="O733" s="36" t="str">
        <f t="shared" si="59"/>
        <v/>
      </c>
    </row>
    <row r="734" spans="1:15" x14ac:dyDescent="0.25">
      <c r="A734" s="34"/>
      <c r="B734" s="33"/>
      <c r="C734" s="34"/>
      <c r="D734" s="34"/>
      <c r="E734" s="34"/>
      <c r="F734" s="34"/>
      <c r="G734" s="35"/>
      <c r="H734" s="34"/>
      <c r="I734" s="5" t="str">
        <f t="shared" si="55"/>
        <v/>
      </c>
      <c r="J734" s="12" t="str">
        <f t="shared" si="56"/>
        <v/>
      </c>
      <c r="K734" s="37" t="str">
        <f>IF(A734="","",Inputs!$B$11-B734)</f>
        <v/>
      </c>
      <c r="L734" s="5" t="str">
        <f>IF(A734="","",IF(I734&lt;=0,"Sold out",IF(K734&gt;=Inputs!$B$18,"Dead",IF(K734&gt;=Inputs!$B$17,"Ageing",IF(K734&gt;=Inputs!$B$16,"Watch","Fresh")))))</f>
        <v/>
      </c>
      <c r="M734" s="5" t="str">
        <f t="shared" si="57"/>
        <v/>
      </c>
      <c r="N734" s="12" t="str">
        <f t="shared" si="58"/>
        <v/>
      </c>
      <c r="O734" s="36" t="str">
        <f t="shared" si="59"/>
        <v/>
      </c>
    </row>
    <row r="735" spans="1:15" x14ac:dyDescent="0.25">
      <c r="A735" s="34"/>
      <c r="B735" s="33"/>
      <c r="C735" s="34"/>
      <c r="D735" s="34"/>
      <c r="E735" s="34"/>
      <c r="F735" s="34"/>
      <c r="G735" s="35"/>
      <c r="H735" s="34"/>
      <c r="I735" s="5" t="str">
        <f t="shared" si="55"/>
        <v/>
      </c>
      <c r="J735" s="12" t="str">
        <f t="shared" si="56"/>
        <v/>
      </c>
      <c r="K735" s="37" t="str">
        <f>IF(A735="","",Inputs!$B$11-B735)</f>
        <v/>
      </c>
      <c r="L735" s="5" t="str">
        <f>IF(A735="","",IF(I735&lt;=0,"Sold out",IF(K735&gt;=Inputs!$B$18,"Dead",IF(K735&gt;=Inputs!$B$17,"Ageing",IF(K735&gt;=Inputs!$B$16,"Watch","Fresh")))))</f>
        <v/>
      </c>
      <c r="M735" s="5" t="str">
        <f t="shared" si="57"/>
        <v/>
      </c>
      <c r="N735" s="12" t="str">
        <f t="shared" si="58"/>
        <v/>
      </c>
      <c r="O735" s="36" t="str">
        <f t="shared" si="59"/>
        <v/>
      </c>
    </row>
    <row r="736" spans="1:15" x14ac:dyDescent="0.25">
      <c r="A736" s="34"/>
      <c r="B736" s="33"/>
      <c r="C736" s="34"/>
      <c r="D736" s="34"/>
      <c r="E736" s="34"/>
      <c r="F736" s="34"/>
      <c r="G736" s="35"/>
      <c r="H736" s="34"/>
      <c r="I736" s="5" t="str">
        <f t="shared" si="55"/>
        <v/>
      </c>
      <c r="J736" s="12" t="str">
        <f t="shared" si="56"/>
        <v/>
      </c>
      <c r="K736" s="37" t="str">
        <f>IF(A736="","",Inputs!$B$11-B736)</f>
        <v/>
      </c>
      <c r="L736" s="5" t="str">
        <f>IF(A736="","",IF(I736&lt;=0,"Sold out",IF(K736&gt;=Inputs!$B$18,"Dead",IF(K736&gt;=Inputs!$B$17,"Ageing",IF(K736&gt;=Inputs!$B$16,"Watch","Fresh")))))</f>
        <v/>
      </c>
      <c r="M736" s="5" t="str">
        <f t="shared" si="57"/>
        <v/>
      </c>
      <c r="N736" s="12" t="str">
        <f t="shared" si="58"/>
        <v/>
      </c>
      <c r="O736" s="36" t="str">
        <f t="shared" si="59"/>
        <v/>
      </c>
    </row>
    <row r="737" spans="1:15" x14ac:dyDescent="0.25">
      <c r="A737" s="34"/>
      <c r="B737" s="33"/>
      <c r="C737" s="34"/>
      <c r="D737" s="34"/>
      <c r="E737" s="34"/>
      <c r="F737" s="34"/>
      <c r="G737" s="35"/>
      <c r="H737" s="34"/>
      <c r="I737" s="5" t="str">
        <f t="shared" si="55"/>
        <v/>
      </c>
      <c r="J737" s="12" t="str">
        <f t="shared" si="56"/>
        <v/>
      </c>
      <c r="K737" s="37" t="str">
        <f>IF(A737="","",Inputs!$B$11-B737)</f>
        <v/>
      </c>
      <c r="L737" s="5" t="str">
        <f>IF(A737="","",IF(I737&lt;=0,"Sold out",IF(K737&gt;=Inputs!$B$18,"Dead",IF(K737&gt;=Inputs!$B$17,"Ageing",IF(K737&gt;=Inputs!$B$16,"Watch","Fresh")))))</f>
        <v/>
      </c>
      <c r="M737" s="5" t="str">
        <f t="shared" si="57"/>
        <v/>
      </c>
      <c r="N737" s="12" t="str">
        <f t="shared" si="58"/>
        <v/>
      </c>
      <c r="O737" s="36" t="str">
        <f t="shared" si="59"/>
        <v/>
      </c>
    </row>
    <row r="738" spans="1:15" x14ac:dyDescent="0.25">
      <c r="A738" s="34"/>
      <c r="B738" s="33"/>
      <c r="C738" s="34"/>
      <c r="D738" s="34"/>
      <c r="E738" s="34"/>
      <c r="F738" s="34"/>
      <c r="G738" s="35"/>
      <c r="H738" s="34"/>
      <c r="I738" s="5" t="str">
        <f t="shared" si="55"/>
        <v/>
      </c>
      <c r="J738" s="12" t="str">
        <f t="shared" si="56"/>
        <v/>
      </c>
      <c r="K738" s="37" t="str">
        <f>IF(A738="","",Inputs!$B$11-B738)</f>
        <v/>
      </c>
      <c r="L738" s="5" t="str">
        <f>IF(A738="","",IF(I738&lt;=0,"Sold out",IF(K738&gt;=Inputs!$B$18,"Dead",IF(K738&gt;=Inputs!$B$17,"Ageing",IF(K738&gt;=Inputs!$B$16,"Watch","Fresh")))))</f>
        <v/>
      </c>
      <c r="M738" s="5" t="str">
        <f t="shared" si="57"/>
        <v/>
      </c>
      <c r="N738" s="12" t="str">
        <f t="shared" si="58"/>
        <v/>
      </c>
      <c r="O738" s="36" t="str">
        <f t="shared" si="59"/>
        <v/>
      </c>
    </row>
    <row r="739" spans="1:15" x14ac:dyDescent="0.25">
      <c r="A739" s="34"/>
      <c r="B739" s="33"/>
      <c r="C739" s="34"/>
      <c r="D739" s="34"/>
      <c r="E739" s="34"/>
      <c r="F739" s="34"/>
      <c r="G739" s="35"/>
      <c r="H739" s="34"/>
      <c r="I739" s="5" t="str">
        <f t="shared" si="55"/>
        <v/>
      </c>
      <c r="J739" s="12" t="str">
        <f t="shared" si="56"/>
        <v/>
      </c>
      <c r="K739" s="37" t="str">
        <f>IF(A739="","",Inputs!$B$11-B739)</f>
        <v/>
      </c>
      <c r="L739" s="5" t="str">
        <f>IF(A739="","",IF(I739&lt;=0,"Sold out",IF(K739&gt;=Inputs!$B$18,"Dead",IF(K739&gt;=Inputs!$B$17,"Ageing",IF(K739&gt;=Inputs!$B$16,"Watch","Fresh")))))</f>
        <v/>
      </c>
      <c r="M739" s="5" t="str">
        <f t="shared" si="57"/>
        <v/>
      </c>
      <c r="N739" s="12" t="str">
        <f t="shared" si="58"/>
        <v/>
      </c>
      <c r="O739" s="36" t="str">
        <f t="shared" si="59"/>
        <v/>
      </c>
    </row>
    <row r="740" spans="1:15" x14ac:dyDescent="0.25">
      <c r="A740" s="34"/>
      <c r="B740" s="33"/>
      <c r="C740" s="34"/>
      <c r="D740" s="34"/>
      <c r="E740" s="34"/>
      <c r="F740" s="34"/>
      <c r="G740" s="35"/>
      <c r="H740" s="34"/>
      <c r="I740" s="5" t="str">
        <f t="shared" si="55"/>
        <v/>
      </c>
      <c r="J740" s="12" t="str">
        <f t="shared" si="56"/>
        <v/>
      </c>
      <c r="K740" s="37" t="str">
        <f>IF(A740="","",Inputs!$B$11-B740)</f>
        <v/>
      </c>
      <c r="L740" s="5" t="str">
        <f>IF(A740="","",IF(I740&lt;=0,"Sold out",IF(K740&gt;=Inputs!$B$18,"Dead",IF(K740&gt;=Inputs!$B$17,"Ageing",IF(K740&gt;=Inputs!$B$16,"Watch","Fresh")))))</f>
        <v/>
      </c>
      <c r="M740" s="5" t="str">
        <f t="shared" si="57"/>
        <v/>
      </c>
      <c r="N740" s="12" t="str">
        <f t="shared" si="58"/>
        <v/>
      </c>
      <c r="O740" s="36" t="str">
        <f t="shared" si="59"/>
        <v/>
      </c>
    </row>
    <row r="741" spans="1:15" x14ac:dyDescent="0.25">
      <c r="A741" s="34"/>
      <c r="B741" s="33"/>
      <c r="C741" s="34"/>
      <c r="D741" s="34"/>
      <c r="E741" s="34"/>
      <c r="F741" s="34"/>
      <c r="G741" s="35"/>
      <c r="H741" s="34"/>
      <c r="I741" s="5" t="str">
        <f t="shared" si="55"/>
        <v/>
      </c>
      <c r="J741" s="12" t="str">
        <f t="shared" si="56"/>
        <v/>
      </c>
      <c r="K741" s="37" t="str">
        <f>IF(A741="","",Inputs!$B$11-B741)</f>
        <v/>
      </c>
      <c r="L741" s="5" t="str">
        <f>IF(A741="","",IF(I741&lt;=0,"Sold out",IF(K741&gt;=Inputs!$B$18,"Dead",IF(K741&gt;=Inputs!$B$17,"Ageing",IF(K741&gt;=Inputs!$B$16,"Watch","Fresh")))))</f>
        <v/>
      </c>
      <c r="M741" s="5" t="str">
        <f t="shared" si="57"/>
        <v/>
      </c>
      <c r="N741" s="12" t="str">
        <f t="shared" si="58"/>
        <v/>
      </c>
      <c r="O741" s="36" t="str">
        <f t="shared" si="59"/>
        <v/>
      </c>
    </row>
    <row r="742" spans="1:15" x14ac:dyDescent="0.25">
      <c r="A742" s="34"/>
      <c r="B742" s="33"/>
      <c r="C742" s="34"/>
      <c r="D742" s="34"/>
      <c r="E742" s="34"/>
      <c r="F742" s="34"/>
      <c r="G742" s="35"/>
      <c r="H742" s="34"/>
      <c r="I742" s="5" t="str">
        <f t="shared" si="55"/>
        <v/>
      </c>
      <c r="J742" s="12" t="str">
        <f t="shared" si="56"/>
        <v/>
      </c>
      <c r="K742" s="37" t="str">
        <f>IF(A742="","",Inputs!$B$11-B742)</f>
        <v/>
      </c>
      <c r="L742" s="5" t="str">
        <f>IF(A742="","",IF(I742&lt;=0,"Sold out",IF(K742&gt;=Inputs!$B$18,"Dead",IF(K742&gt;=Inputs!$B$17,"Ageing",IF(K742&gt;=Inputs!$B$16,"Watch","Fresh")))))</f>
        <v/>
      </c>
      <c r="M742" s="5" t="str">
        <f t="shared" si="57"/>
        <v/>
      </c>
      <c r="N742" s="12" t="str">
        <f t="shared" si="58"/>
        <v/>
      </c>
      <c r="O742" s="36" t="str">
        <f t="shared" si="59"/>
        <v/>
      </c>
    </row>
    <row r="743" spans="1:15" x14ac:dyDescent="0.25">
      <c r="A743" s="34"/>
      <c r="B743" s="33"/>
      <c r="C743" s="34"/>
      <c r="D743" s="34"/>
      <c r="E743" s="34"/>
      <c r="F743" s="34"/>
      <c r="G743" s="35"/>
      <c r="H743" s="34"/>
      <c r="I743" s="5" t="str">
        <f t="shared" si="55"/>
        <v/>
      </c>
      <c r="J743" s="12" t="str">
        <f t="shared" si="56"/>
        <v/>
      </c>
      <c r="K743" s="37" t="str">
        <f>IF(A743="","",Inputs!$B$11-B743)</f>
        <v/>
      </c>
      <c r="L743" s="5" t="str">
        <f>IF(A743="","",IF(I743&lt;=0,"Sold out",IF(K743&gt;=Inputs!$B$18,"Dead",IF(K743&gt;=Inputs!$B$17,"Ageing",IF(K743&gt;=Inputs!$B$16,"Watch","Fresh")))))</f>
        <v/>
      </c>
      <c r="M743" s="5" t="str">
        <f t="shared" si="57"/>
        <v/>
      </c>
      <c r="N743" s="12" t="str">
        <f t="shared" si="58"/>
        <v/>
      </c>
      <c r="O743" s="36" t="str">
        <f t="shared" si="59"/>
        <v/>
      </c>
    </row>
    <row r="744" spans="1:15" x14ac:dyDescent="0.25">
      <c r="A744" s="34"/>
      <c r="B744" s="33"/>
      <c r="C744" s="34"/>
      <c r="D744" s="34"/>
      <c r="E744" s="34"/>
      <c r="F744" s="34"/>
      <c r="G744" s="35"/>
      <c r="H744" s="34"/>
      <c r="I744" s="5" t="str">
        <f t="shared" si="55"/>
        <v/>
      </c>
      <c r="J744" s="12" t="str">
        <f t="shared" si="56"/>
        <v/>
      </c>
      <c r="K744" s="37" t="str">
        <f>IF(A744="","",Inputs!$B$11-B744)</f>
        <v/>
      </c>
      <c r="L744" s="5" t="str">
        <f>IF(A744="","",IF(I744&lt;=0,"Sold out",IF(K744&gt;=Inputs!$B$18,"Dead",IF(K744&gt;=Inputs!$B$17,"Ageing",IF(K744&gt;=Inputs!$B$16,"Watch","Fresh")))))</f>
        <v/>
      </c>
      <c r="M744" s="5" t="str">
        <f t="shared" si="57"/>
        <v/>
      </c>
      <c r="N744" s="12" t="str">
        <f t="shared" si="58"/>
        <v/>
      </c>
      <c r="O744" s="36" t="str">
        <f t="shared" si="59"/>
        <v/>
      </c>
    </row>
    <row r="745" spans="1:15" x14ac:dyDescent="0.25">
      <c r="A745" s="34"/>
      <c r="B745" s="33"/>
      <c r="C745" s="34"/>
      <c r="D745" s="34"/>
      <c r="E745" s="34"/>
      <c r="F745" s="34"/>
      <c r="G745" s="35"/>
      <c r="H745" s="34"/>
      <c r="I745" s="5" t="str">
        <f t="shared" si="55"/>
        <v/>
      </c>
      <c r="J745" s="12" t="str">
        <f t="shared" si="56"/>
        <v/>
      </c>
      <c r="K745" s="37" t="str">
        <f>IF(A745="","",Inputs!$B$11-B745)</f>
        <v/>
      </c>
      <c r="L745" s="5" t="str">
        <f>IF(A745="","",IF(I745&lt;=0,"Sold out",IF(K745&gt;=Inputs!$B$18,"Dead",IF(K745&gt;=Inputs!$B$17,"Ageing",IF(K745&gt;=Inputs!$B$16,"Watch","Fresh")))))</f>
        <v/>
      </c>
      <c r="M745" s="5" t="str">
        <f t="shared" si="57"/>
        <v/>
      </c>
      <c r="N745" s="12" t="str">
        <f t="shared" si="58"/>
        <v/>
      </c>
      <c r="O745" s="36" t="str">
        <f t="shared" si="59"/>
        <v/>
      </c>
    </row>
    <row r="746" spans="1:15" x14ac:dyDescent="0.25">
      <c r="A746" s="34"/>
      <c r="B746" s="33"/>
      <c r="C746" s="34"/>
      <c r="D746" s="34"/>
      <c r="E746" s="34"/>
      <c r="F746" s="34"/>
      <c r="G746" s="35"/>
      <c r="H746" s="34"/>
      <c r="I746" s="5" t="str">
        <f t="shared" si="55"/>
        <v/>
      </c>
      <c r="J746" s="12" t="str">
        <f t="shared" si="56"/>
        <v/>
      </c>
      <c r="K746" s="37" t="str">
        <f>IF(A746="","",Inputs!$B$11-B746)</f>
        <v/>
      </c>
      <c r="L746" s="5" t="str">
        <f>IF(A746="","",IF(I746&lt;=0,"Sold out",IF(K746&gt;=Inputs!$B$18,"Dead",IF(K746&gt;=Inputs!$B$17,"Ageing",IF(K746&gt;=Inputs!$B$16,"Watch","Fresh")))))</f>
        <v/>
      </c>
      <c r="M746" s="5" t="str">
        <f t="shared" si="57"/>
        <v/>
      </c>
      <c r="N746" s="12" t="str">
        <f t="shared" si="58"/>
        <v/>
      </c>
      <c r="O746" s="36" t="str">
        <f t="shared" si="59"/>
        <v/>
      </c>
    </row>
    <row r="747" spans="1:15" x14ac:dyDescent="0.25">
      <c r="A747" s="34"/>
      <c r="B747" s="33"/>
      <c r="C747" s="34"/>
      <c r="D747" s="34"/>
      <c r="E747" s="34"/>
      <c r="F747" s="34"/>
      <c r="G747" s="35"/>
      <c r="H747" s="34"/>
      <c r="I747" s="5" t="str">
        <f t="shared" si="55"/>
        <v/>
      </c>
      <c r="J747" s="12" t="str">
        <f t="shared" si="56"/>
        <v/>
      </c>
      <c r="K747" s="37" t="str">
        <f>IF(A747="","",Inputs!$B$11-B747)</f>
        <v/>
      </c>
      <c r="L747" s="5" t="str">
        <f>IF(A747="","",IF(I747&lt;=0,"Sold out",IF(K747&gt;=Inputs!$B$18,"Dead",IF(K747&gt;=Inputs!$B$17,"Ageing",IF(K747&gt;=Inputs!$B$16,"Watch","Fresh")))))</f>
        <v/>
      </c>
      <c r="M747" s="5" t="str">
        <f t="shared" si="57"/>
        <v/>
      </c>
      <c r="N747" s="12" t="str">
        <f t="shared" si="58"/>
        <v/>
      </c>
      <c r="O747" s="36" t="str">
        <f t="shared" si="59"/>
        <v/>
      </c>
    </row>
    <row r="748" spans="1:15" x14ac:dyDescent="0.25">
      <c r="A748" s="34"/>
      <c r="B748" s="33"/>
      <c r="C748" s="34"/>
      <c r="D748" s="34"/>
      <c r="E748" s="34"/>
      <c r="F748" s="34"/>
      <c r="G748" s="35"/>
      <c r="H748" s="34"/>
      <c r="I748" s="5" t="str">
        <f t="shared" si="55"/>
        <v/>
      </c>
      <c r="J748" s="12" t="str">
        <f t="shared" si="56"/>
        <v/>
      </c>
      <c r="K748" s="37" t="str">
        <f>IF(A748="","",Inputs!$B$11-B748)</f>
        <v/>
      </c>
      <c r="L748" s="5" t="str">
        <f>IF(A748="","",IF(I748&lt;=0,"Sold out",IF(K748&gt;=Inputs!$B$18,"Dead",IF(K748&gt;=Inputs!$B$17,"Ageing",IF(K748&gt;=Inputs!$B$16,"Watch","Fresh")))))</f>
        <v/>
      </c>
      <c r="M748" s="5" t="str">
        <f t="shared" si="57"/>
        <v/>
      </c>
      <c r="N748" s="12" t="str">
        <f t="shared" si="58"/>
        <v/>
      </c>
      <c r="O748" s="36" t="str">
        <f t="shared" si="59"/>
        <v/>
      </c>
    </row>
    <row r="749" spans="1:15" x14ac:dyDescent="0.25">
      <c r="A749" s="34"/>
      <c r="B749" s="33"/>
      <c r="C749" s="34"/>
      <c r="D749" s="34"/>
      <c r="E749" s="34"/>
      <c r="F749" s="34"/>
      <c r="G749" s="35"/>
      <c r="H749" s="34"/>
      <c r="I749" s="5" t="str">
        <f t="shared" si="55"/>
        <v/>
      </c>
      <c r="J749" s="12" t="str">
        <f t="shared" si="56"/>
        <v/>
      </c>
      <c r="K749" s="37" t="str">
        <f>IF(A749="","",Inputs!$B$11-B749)</f>
        <v/>
      </c>
      <c r="L749" s="5" t="str">
        <f>IF(A749="","",IF(I749&lt;=0,"Sold out",IF(K749&gt;=Inputs!$B$18,"Dead",IF(K749&gt;=Inputs!$B$17,"Ageing",IF(K749&gt;=Inputs!$B$16,"Watch","Fresh")))))</f>
        <v/>
      </c>
      <c r="M749" s="5" t="str">
        <f t="shared" si="57"/>
        <v/>
      </c>
      <c r="N749" s="12" t="str">
        <f t="shared" si="58"/>
        <v/>
      </c>
      <c r="O749" s="36" t="str">
        <f t="shared" si="59"/>
        <v/>
      </c>
    </row>
    <row r="750" spans="1:15" x14ac:dyDescent="0.25">
      <c r="A750" s="34"/>
      <c r="B750" s="33"/>
      <c r="C750" s="34"/>
      <c r="D750" s="34"/>
      <c r="E750" s="34"/>
      <c r="F750" s="34"/>
      <c r="G750" s="35"/>
      <c r="H750" s="34"/>
      <c r="I750" s="5" t="str">
        <f t="shared" si="55"/>
        <v/>
      </c>
      <c r="J750" s="12" t="str">
        <f t="shared" si="56"/>
        <v/>
      </c>
      <c r="K750" s="37" t="str">
        <f>IF(A750="","",Inputs!$B$11-B750)</f>
        <v/>
      </c>
      <c r="L750" s="5" t="str">
        <f>IF(A750="","",IF(I750&lt;=0,"Sold out",IF(K750&gt;=Inputs!$B$18,"Dead",IF(K750&gt;=Inputs!$B$17,"Ageing",IF(K750&gt;=Inputs!$B$16,"Watch","Fresh")))))</f>
        <v/>
      </c>
      <c r="M750" s="5" t="str">
        <f t="shared" si="57"/>
        <v/>
      </c>
      <c r="N750" s="12" t="str">
        <f t="shared" si="58"/>
        <v/>
      </c>
      <c r="O750" s="36" t="str">
        <f t="shared" si="59"/>
        <v/>
      </c>
    </row>
    <row r="751" spans="1:15" x14ac:dyDescent="0.25">
      <c r="A751" s="34"/>
      <c r="B751" s="33"/>
      <c r="C751" s="34"/>
      <c r="D751" s="34"/>
      <c r="E751" s="34"/>
      <c r="F751" s="34"/>
      <c r="G751" s="35"/>
      <c r="H751" s="34"/>
      <c r="I751" s="5" t="str">
        <f t="shared" si="55"/>
        <v/>
      </c>
      <c r="J751" s="12" t="str">
        <f t="shared" si="56"/>
        <v/>
      </c>
      <c r="K751" s="37" t="str">
        <f>IF(A751="","",Inputs!$B$11-B751)</f>
        <v/>
      </c>
      <c r="L751" s="5" t="str">
        <f>IF(A751="","",IF(I751&lt;=0,"Sold out",IF(K751&gt;=Inputs!$B$18,"Dead",IF(K751&gt;=Inputs!$B$17,"Ageing",IF(K751&gt;=Inputs!$B$16,"Watch","Fresh")))))</f>
        <v/>
      </c>
      <c r="M751" s="5" t="str">
        <f t="shared" si="57"/>
        <v/>
      </c>
      <c r="N751" s="12" t="str">
        <f t="shared" si="58"/>
        <v/>
      </c>
      <c r="O751" s="36" t="str">
        <f t="shared" si="59"/>
        <v/>
      </c>
    </row>
    <row r="752" spans="1:15" x14ac:dyDescent="0.25">
      <c r="A752" s="34"/>
      <c r="B752" s="33"/>
      <c r="C752" s="34"/>
      <c r="D752" s="34"/>
      <c r="E752" s="34"/>
      <c r="F752" s="34"/>
      <c r="G752" s="35"/>
      <c r="H752" s="34"/>
      <c r="I752" s="5" t="str">
        <f t="shared" si="55"/>
        <v/>
      </c>
      <c r="J752" s="12" t="str">
        <f t="shared" si="56"/>
        <v/>
      </c>
      <c r="K752" s="37" t="str">
        <f>IF(A752="","",Inputs!$B$11-B752)</f>
        <v/>
      </c>
      <c r="L752" s="5" t="str">
        <f>IF(A752="","",IF(I752&lt;=0,"Sold out",IF(K752&gt;=Inputs!$B$18,"Dead",IF(K752&gt;=Inputs!$B$17,"Ageing",IF(K752&gt;=Inputs!$B$16,"Watch","Fresh")))))</f>
        <v/>
      </c>
      <c r="M752" s="5" t="str">
        <f t="shared" si="57"/>
        <v/>
      </c>
      <c r="N752" s="12" t="str">
        <f t="shared" si="58"/>
        <v/>
      </c>
      <c r="O752" s="36" t="str">
        <f t="shared" si="59"/>
        <v/>
      </c>
    </row>
    <row r="753" spans="1:15" x14ac:dyDescent="0.25">
      <c r="A753" s="34"/>
      <c r="B753" s="33"/>
      <c r="C753" s="34"/>
      <c r="D753" s="34"/>
      <c r="E753" s="34"/>
      <c r="F753" s="34"/>
      <c r="G753" s="35"/>
      <c r="H753" s="34"/>
      <c r="I753" s="5" t="str">
        <f t="shared" si="55"/>
        <v/>
      </c>
      <c r="J753" s="12" t="str">
        <f t="shared" si="56"/>
        <v/>
      </c>
      <c r="K753" s="37" t="str">
        <f>IF(A753="","",Inputs!$B$11-B753)</f>
        <v/>
      </c>
      <c r="L753" s="5" t="str">
        <f>IF(A753="","",IF(I753&lt;=0,"Sold out",IF(K753&gt;=Inputs!$B$18,"Dead",IF(K753&gt;=Inputs!$B$17,"Ageing",IF(K753&gt;=Inputs!$B$16,"Watch","Fresh")))))</f>
        <v/>
      </c>
      <c r="M753" s="5" t="str">
        <f t="shared" si="57"/>
        <v/>
      </c>
      <c r="N753" s="12" t="str">
        <f t="shared" si="58"/>
        <v/>
      </c>
      <c r="O753" s="36" t="str">
        <f t="shared" si="59"/>
        <v/>
      </c>
    </row>
    <row r="754" spans="1:15" x14ac:dyDescent="0.25">
      <c r="A754" s="34"/>
      <c r="B754" s="33"/>
      <c r="C754" s="34"/>
      <c r="D754" s="34"/>
      <c r="E754" s="34"/>
      <c r="F754" s="34"/>
      <c r="G754" s="35"/>
      <c r="H754" s="34"/>
      <c r="I754" s="5" t="str">
        <f t="shared" si="55"/>
        <v/>
      </c>
      <c r="J754" s="12" t="str">
        <f t="shared" si="56"/>
        <v/>
      </c>
      <c r="K754" s="37" t="str">
        <f>IF(A754="","",Inputs!$B$11-B754)</f>
        <v/>
      </c>
      <c r="L754" s="5" t="str">
        <f>IF(A754="","",IF(I754&lt;=0,"Sold out",IF(K754&gt;=Inputs!$B$18,"Dead",IF(K754&gt;=Inputs!$B$17,"Ageing",IF(K754&gt;=Inputs!$B$16,"Watch","Fresh")))))</f>
        <v/>
      </c>
      <c r="M754" s="5" t="str">
        <f t="shared" si="57"/>
        <v/>
      </c>
      <c r="N754" s="12" t="str">
        <f t="shared" si="58"/>
        <v/>
      </c>
      <c r="O754" s="36" t="str">
        <f t="shared" si="59"/>
        <v/>
      </c>
    </row>
    <row r="755" spans="1:15" x14ac:dyDescent="0.25">
      <c r="A755" s="34"/>
      <c r="B755" s="33"/>
      <c r="C755" s="34"/>
      <c r="D755" s="34"/>
      <c r="E755" s="34"/>
      <c r="F755" s="34"/>
      <c r="G755" s="35"/>
      <c r="H755" s="34"/>
      <c r="I755" s="5" t="str">
        <f t="shared" si="55"/>
        <v/>
      </c>
      <c r="J755" s="12" t="str">
        <f t="shared" si="56"/>
        <v/>
      </c>
      <c r="K755" s="37" t="str">
        <f>IF(A755="","",Inputs!$B$11-B755)</f>
        <v/>
      </c>
      <c r="L755" s="5" t="str">
        <f>IF(A755="","",IF(I755&lt;=0,"Sold out",IF(K755&gt;=Inputs!$B$18,"Dead",IF(K755&gt;=Inputs!$B$17,"Ageing",IF(K755&gt;=Inputs!$B$16,"Watch","Fresh")))))</f>
        <v/>
      </c>
      <c r="M755" s="5" t="str">
        <f t="shared" si="57"/>
        <v/>
      </c>
      <c r="N755" s="12" t="str">
        <f t="shared" si="58"/>
        <v/>
      </c>
      <c r="O755" s="36" t="str">
        <f t="shared" si="59"/>
        <v/>
      </c>
    </row>
    <row r="756" spans="1:15" x14ac:dyDescent="0.25">
      <c r="A756" s="34"/>
      <c r="B756" s="33"/>
      <c r="C756" s="34"/>
      <c r="D756" s="34"/>
      <c r="E756" s="34"/>
      <c r="F756" s="34"/>
      <c r="G756" s="35"/>
      <c r="H756" s="34"/>
      <c r="I756" s="5" t="str">
        <f t="shared" si="55"/>
        <v/>
      </c>
      <c r="J756" s="12" t="str">
        <f t="shared" si="56"/>
        <v/>
      </c>
      <c r="K756" s="37" t="str">
        <f>IF(A756="","",Inputs!$B$11-B756)</f>
        <v/>
      </c>
      <c r="L756" s="5" t="str">
        <f>IF(A756="","",IF(I756&lt;=0,"Sold out",IF(K756&gt;=Inputs!$B$18,"Dead",IF(K756&gt;=Inputs!$B$17,"Ageing",IF(K756&gt;=Inputs!$B$16,"Watch","Fresh")))))</f>
        <v/>
      </c>
      <c r="M756" s="5" t="str">
        <f t="shared" si="57"/>
        <v/>
      </c>
      <c r="N756" s="12" t="str">
        <f t="shared" si="58"/>
        <v/>
      </c>
      <c r="O756" s="36" t="str">
        <f t="shared" si="59"/>
        <v/>
      </c>
    </row>
    <row r="757" spans="1:15" x14ac:dyDescent="0.25">
      <c r="A757" s="34"/>
      <c r="B757" s="33"/>
      <c r="C757" s="34"/>
      <c r="D757" s="34"/>
      <c r="E757" s="34"/>
      <c r="F757" s="34"/>
      <c r="G757" s="35"/>
      <c r="H757" s="34"/>
      <c r="I757" s="5" t="str">
        <f t="shared" si="55"/>
        <v/>
      </c>
      <c r="J757" s="12" t="str">
        <f t="shared" si="56"/>
        <v/>
      </c>
      <c r="K757" s="37" t="str">
        <f>IF(A757="","",Inputs!$B$11-B757)</f>
        <v/>
      </c>
      <c r="L757" s="5" t="str">
        <f>IF(A757="","",IF(I757&lt;=0,"Sold out",IF(K757&gt;=Inputs!$B$18,"Dead",IF(K757&gt;=Inputs!$B$17,"Ageing",IF(K757&gt;=Inputs!$B$16,"Watch","Fresh")))))</f>
        <v/>
      </c>
      <c r="M757" s="5" t="str">
        <f t="shared" si="57"/>
        <v/>
      </c>
      <c r="N757" s="12" t="str">
        <f t="shared" si="58"/>
        <v/>
      </c>
      <c r="O757" s="36" t="str">
        <f t="shared" si="59"/>
        <v/>
      </c>
    </row>
    <row r="758" spans="1:15" x14ac:dyDescent="0.25">
      <c r="A758" s="34"/>
      <c r="B758" s="33"/>
      <c r="C758" s="34"/>
      <c r="D758" s="34"/>
      <c r="E758" s="34"/>
      <c r="F758" s="34"/>
      <c r="G758" s="35"/>
      <c r="H758" s="34"/>
      <c r="I758" s="5" t="str">
        <f t="shared" si="55"/>
        <v/>
      </c>
      <c r="J758" s="12" t="str">
        <f t="shared" si="56"/>
        <v/>
      </c>
      <c r="K758" s="37" t="str">
        <f>IF(A758="","",Inputs!$B$11-B758)</f>
        <v/>
      </c>
      <c r="L758" s="5" t="str">
        <f>IF(A758="","",IF(I758&lt;=0,"Sold out",IF(K758&gt;=Inputs!$B$18,"Dead",IF(K758&gt;=Inputs!$B$17,"Ageing",IF(K758&gt;=Inputs!$B$16,"Watch","Fresh")))))</f>
        <v/>
      </c>
      <c r="M758" s="5" t="str">
        <f t="shared" si="57"/>
        <v/>
      </c>
      <c r="N758" s="12" t="str">
        <f t="shared" si="58"/>
        <v/>
      </c>
      <c r="O758" s="36" t="str">
        <f t="shared" si="59"/>
        <v/>
      </c>
    </row>
    <row r="759" spans="1:15" x14ac:dyDescent="0.25">
      <c r="A759" s="34"/>
      <c r="B759" s="33"/>
      <c r="C759" s="34"/>
      <c r="D759" s="34"/>
      <c r="E759" s="34"/>
      <c r="F759" s="34"/>
      <c r="G759" s="35"/>
      <c r="H759" s="34"/>
      <c r="I759" s="5" t="str">
        <f t="shared" si="55"/>
        <v/>
      </c>
      <c r="J759" s="12" t="str">
        <f t="shared" si="56"/>
        <v/>
      </c>
      <c r="K759" s="37" t="str">
        <f>IF(A759="","",Inputs!$B$11-B759)</f>
        <v/>
      </c>
      <c r="L759" s="5" t="str">
        <f>IF(A759="","",IF(I759&lt;=0,"Sold out",IF(K759&gt;=Inputs!$B$18,"Dead",IF(K759&gt;=Inputs!$B$17,"Ageing",IF(K759&gt;=Inputs!$B$16,"Watch","Fresh")))))</f>
        <v/>
      </c>
      <c r="M759" s="5" t="str">
        <f t="shared" si="57"/>
        <v/>
      </c>
      <c r="N759" s="12" t="str">
        <f t="shared" si="58"/>
        <v/>
      </c>
      <c r="O759" s="36" t="str">
        <f t="shared" si="59"/>
        <v/>
      </c>
    </row>
    <row r="760" spans="1:15" x14ac:dyDescent="0.25">
      <c r="A760" s="34"/>
      <c r="B760" s="33"/>
      <c r="C760" s="34"/>
      <c r="D760" s="34"/>
      <c r="E760" s="34"/>
      <c r="F760" s="34"/>
      <c r="G760" s="35"/>
      <c r="H760" s="34"/>
      <c r="I760" s="5" t="str">
        <f t="shared" si="55"/>
        <v/>
      </c>
      <c r="J760" s="12" t="str">
        <f t="shared" si="56"/>
        <v/>
      </c>
      <c r="K760" s="37" t="str">
        <f>IF(A760="","",Inputs!$B$11-B760)</f>
        <v/>
      </c>
      <c r="L760" s="5" t="str">
        <f>IF(A760="","",IF(I760&lt;=0,"Sold out",IF(K760&gt;=Inputs!$B$18,"Dead",IF(K760&gt;=Inputs!$B$17,"Ageing",IF(K760&gt;=Inputs!$B$16,"Watch","Fresh")))))</f>
        <v/>
      </c>
      <c r="M760" s="5" t="str">
        <f t="shared" si="57"/>
        <v/>
      </c>
      <c r="N760" s="12" t="str">
        <f t="shared" si="58"/>
        <v/>
      </c>
      <c r="O760" s="36" t="str">
        <f t="shared" si="59"/>
        <v/>
      </c>
    </row>
    <row r="761" spans="1:15" x14ac:dyDescent="0.25">
      <c r="A761" s="34"/>
      <c r="B761" s="33"/>
      <c r="C761" s="34"/>
      <c r="D761" s="34"/>
      <c r="E761" s="34"/>
      <c r="F761" s="34"/>
      <c r="G761" s="35"/>
      <c r="H761" s="34"/>
      <c r="I761" s="5" t="str">
        <f t="shared" si="55"/>
        <v/>
      </c>
      <c r="J761" s="12" t="str">
        <f t="shared" si="56"/>
        <v/>
      </c>
      <c r="K761" s="37" t="str">
        <f>IF(A761="","",Inputs!$B$11-B761)</f>
        <v/>
      </c>
      <c r="L761" s="5" t="str">
        <f>IF(A761="","",IF(I761&lt;=0,"Sold out",IF(K761&gt;=Inputs!$B$18,"Dead",IF(K761&gt;=Inputs!$B$17,"Ageing",IF(K761&gt;=Inputs!$B$16,"Watch","Fresh")))))</f>
        <v/>
      </c>
      <c r="M761" s="5" t="str">
        <f t="shared" si="57"/>
        <v/>
      </c>
      <c r="N761" s="12" t="str">
        <f t="shared" si="58"/>
        <v/>
      </c>
      <c r="O761" s="36" t="str">
        <f t="shared" si="59"/>
        <v/>
      </c>
    </row>
    <row r="762" spans="1:15" x14ac:dyDescent="0.25">
      <c r="A762" s="34"/>
      <c r="B762" s="33"/>
      <c r="C762" s="34"/>
      <c r="D762" s="34"/>
      <c r="E762" s="34"/>
      <c r="F762" s="34"/>
      <c r="G762" s="35"/>
      <c r="H762" s="34"/>
      <c r="I762" s="5" t="str">
        <f t="shared" si="55"/>
        <v/>
      </c>
      <c r="J762" s="12" t="str">
        <f t="shared" si="56"/>
        <v/>
      </c>
      <c r="K762" s="37" t="str">
        <f>IF(A762="","",Inputs!$B$11-B762)</f>
        <v/>
      </c>
      <c r="L762" s="5" t="str">
        <f>IF(A762="","",IF(I762&lt;=0,"Sold out",IF(K762&gt;=Inputs!$B$18,"Dead",IF(K762&gt;=Inputs!$B$17,"Ageing",IF(K762&gt;=Inputs!$B$16,"Watch","Fresh")))))</f>
        <v/>
      </c>
      <c r="M762" s="5" t="str">
        <f t="shared" si="57"/>
        <v/>
      </c>
      <c r="N762" s="12" t="str">
        <f t="shared" si="58"/>
        <v/>
      </c>
      <c r="O762" s="36" t="str">
        <f t="shared" si="59"/>
        <v/>
      </c>
    </row>
    <row r="763" spans="1:15" x14ac:dyDescent="0.25">
      <c r="A763" s="34"/>
      <c r="B763" s="33"/>
      <c r="C763" s="34"/>
      <c r="D763" s="34"/>
      <c r="E763" s="34"/>
      <c r="F763" s="34"/>
      <c r="G763" s="35"/>
      <c r="H763" s="34"/>
      <c r="I763" s="5" t="str">
        <f t="shared" si="55"/>
        <v/>
      </c>
      <c r="J763" s="12" t="str">
        <f t="shared" si="56"/>
        <v/>
      </c>
      <c r="K763" s="37" t="str">
        <f>IF(A763="","",Inputs!$B$11-B763)</f>
        <v/>
      </c>
      <c r="L763" s="5" t="str">
        <f>IF(A763="","",IF(I763&lt;=0,"Sold out",IF(K763&gt;=Inputs!$B$18,"Dead",IF(K763&gt;=Inputs!$B$17,"Ageing",IF(K763&gt;=Inputs!$B$16,"Watch","Fresh")))))</f>
        <v/>
      </c>
      <c r="M763" s="5" t="str">
        <f t="shared" si="57"/>
        <v/>
      </c>
      <c r="N763" s="12" t="str">
        <f t="shared" si="58"/>
        <v/>
      </c>
      <c r="O763" s="36" t="str">
        <f t="shared" si="59"/>
        <v/>
      </c>
    </row>
    <row r="764" spans="1:15" x14ac:dyDescent="0.25">
      <c r="A764" s="34"/>
      <c r="B764" s="33"/>
      <c r="C764" s="34"/>
      <c r="D764" s="34"/>
      <c r="E764" s="34"/>
      <c r="F764" s="34"/>
      <c r="G764" s="35"/>
      <c r="H764" s="34"/>
      <c r="I764" s="5" t="str">
        <f t="shared" si="55"/>
        <v/>
      </c>
      <c r="J764" s="12" t="str">
        <f t="shared" si="56"/>
        <v/>
      </c>
      <c r="K764" s="37" t="str">
        <f>IF(A764="","",Inputs!$B$11-B764)</f>
        <v/>
      </c>
      <c r="L764" s="5" t="str">
        <f>IF(A764="","",IF(I764&lt;=0,"Sold out",IF(K764&gt;=Inputs!$B$18,"Dead",IF(K764&gt;=Inputs!$B$17,"Ageing",IF(K764&gt;=Inputs!$B$16,"Watch","Fresh")))))</f>
        <v/>
      </c>
      <c r="M764" s="5" t="str">
        <f t="shared" si="57"/>
        <v/>
      </c>
      <c r="N764" s="12" t="str">
        <f t="shared" si="58"/>
        <v/>
      </c>
      <c r="O764" s="36" t="str">
        <f t="shared" si="59"/>
        <v/>
      </c>
    </row>
    <row r="765" spans="1:15" x14ac:dyDescent="0.25">
      <c r="A765" s="34"/>
      <c r="B765" s="33"/>
      <c r="C765" s="34"/>
      <c r="D765" s="34"/>
      <c r="E765" s="34"/>
      <c r="F765" s="34"/>
      <c r="G765" s="35"/>
      <c r="H765" s="34"/>
      <c r="I765" s="5" t="str">
        <f t="shared" si="55"/>
        <v/>
      </c>
      <c r="J765" s="12" t="str">
        <f t="shared" si="56"/>
        <v/>
      </c>
      <c r="K765" s="37" t="str">
        <f>IF(A765="","",Inputs!$B$11-B765)</f>
        <v/>
      </c>
      <c r="L765" s="5" t="str">
        <f>IF(A765="","",IF(I765&lt;=0,"Sold out",IF(K765&gt;=Inputs!$B$18,"Dead",IF(K765&gt;=Inputs!$B$17,"Ageing",IF(K765&gt;=Inputs!$B$16,"Watch","Fresh")))))</f>
        <v/>
      </c>
      <c r="M765" s="5" t="str">
        <f t="shared" si="57"/>
        <v/>
      </c>
      <c r="N765" s="12" t="str">
        <f t="shared" si="58"/>
        <v/>
      </c>
      <c r="O765" s="36" t="str">
        <f t="shared" si="59"/>
        <v/>
      </c>
    </row>
    <row r="766" spans="1:15" x14ac:dyDescent="0.25">
      <c r="A766" s="34"/>
      <c r="B766" s="33"/>
      <c r="C766" s="34"/>
      <c r="D766" s="34"/>
      <c r="E766" s="34"/>
      <c r="F766" s="34"/>
      <c r="G766" s="35"/>
      <c r="H766" s="34"/>
      <c r="I766" s="5" t="str">
        <f t="shared" si="55"/>
        <v/>
      </c>
      <c r="J766" s="12" t="str">
        <f t="shared" si="56"/>
        <v/>
      </c>
      <c r="K766" s="37" t="str">
        <f>IF(A766="","",Inputs!$B$11-B766)</f>
        <v/>
      </c>
      <c r="L766" s="5" t="str">
        <f>IF(A766="","",IF(I766&lt;=0,"Sold out",IF(K766&gt;=Inputs!$B$18,"Dead",IF(K766&gt;=Inputs!$B$17,"Ageing",IF(K766&gt;=Inputs!$B$16,"Watch","Fresh")))))</f>
        <v/>
      </c>
      <c r="M766" s="5" t="str">
        <f t="shared" si="57"/>
        <v/>
      </c>
      <c r="N766" s="12" t="str">
        <f t="shared" si="58"/>
        <v/>
      </c>
      <c r="O766" s="36" t="str">
        <f t="shared" si="59"/>
        <v/>
      </c>
    </row>
    <row r="767" spans="1:15" x14ac:dyDescent="0.25">
      <c r="A767" s="34"/>
      <c r="B767" s="33"/>
      <c r="C767" s="34"/>
      <c r="D767" s="34"/>
      <c r="E767" s="34"/>
      <c r="F767" s="34"/>
      <c r="G767" s="35"/>
      <c r="H767" s="34"/>
      <c r="I767" s="5" t="str">
        <f t="shared" si="55"/>
        <v/>
      </c>
      <c r="J767" s="12" t="str">
        <f t="shared" si="56"/>
        <v/>
      </c>
      <c r="K767" s="37" t="str">
        <f>IF(A767="","",Inputs!$B$11-B767)</f>
        <v/>
      </c>
      <c r="L767" s="5" t="str">
        <f>IF(A767="","",IF(I767&lt;=0,"Sold out",IF(K767&gt;=Inputs!$B$18,"Dead",IF(K767&gt;=Inputs!$B$17,"Ageing",IF(K767&gt;=Inputs!$B$16,"Watch","Fresh")))))</f>
        <v/>
      </c>
      <c r="M767" s="5" t="str">
        <f t="shared" si="57"/>
        <v/>
      </c>
      <c r="N767" s="12" t="str">
        <f t="shared" si="58"/>
        <v/>
      </c>
      <c r="O767" s="36" t="str">
        <f t="shared" si="59"/>
        <v/>
      </c>
    </row>
    <row r="768" spans="1:15" x14ac:dyDescent="0.25">
      <c r="A768" s="34"/>
      <c r="B768" s="33"/>
      <c r="C768" s="34"/>
      <c r="D768" s="34"/>
      <c r="E768" s="34"/>
      <c r="F768" s="34"/>
      <c r="G768" s="35"/>
      <c r="H768" s="34"/>
      <c r="I768" s="5" t="str">
        <f t="shared" si="55"/>
        <v/>
      </c>
      <c r="J768" s="12" t="str">
        <f t="shared" si="56"/>
        <v/>
      </c>
      <c r="K768" s="37" t="str">
        <f>IF(A768="","",Inputs!$B$11-B768)</f>
        <v/>
      </c>
      <c r="L768" s="5" t="str">
        <f>IF(A768="","",IF(I768&lt;=0,"Sold out",IF(K768&gt;=Inputs!$B$18,"Dead",IF(K768&gt;=Inputs!$B$17,"Ageing",IF(K768&gt;=Inputs!$B$16,"Watch","Fresh")))))</f>
        <v/>
      </c>
      <c r="M768" s="5" t="str">
        <f t="shared" si="57"/>
        <v/>
      </c>
      <c r="N768" s="12" t="str">
        <f t="shared" si="58"/>
        <v/>
      </c>
      <c r="O768" s="36" t="str">
        <f t="shared" si="59"/>
        <v/>
      </c>
    </row>
    <row r="769" spans="1:15" x14ac:dyDescent="0.25">
      <c r="A769" s="34"/>
      <c r="B769" s="33"/>
      <c r="C769" s="34"/>
      <c r="D769" s="34"/>
      <c r="E769" s="34"/>
      <c r="F769" s="34"/>
      <c r="G769" s="35"/>
      <c r="H769" s="34"/>
      <c r="I769" s="5" t="str">
        <f t="shared" si="55"/>
        <v/>
      </c>
      <c r="J769" s="12" t="str">
        <f t="shared" si="56"/>
        <v/>
      </c>
      <c r="K769" s="37" t="str">
        <f>IF(A769="","",Inputs!$B$11-B769)</f>
        <v/>
      </c>
      <c r="L769" s="5" t="str">
        <f>IF(A769="","",IF(I769&lt;=0,"Sold out",IF(K769&gt;=Inputs!$B$18,"Dead",IF(K769&gt;=Inputs!$B$17,"Ageing",IF(K769&gt;=Inputs!$B$16,"Watch","Fresh")))))</f>
        <v/>
      </c>
      <c r="M769" s="5" t="str">
        <f t="shared" si="57"/>
        <v/>
      </c>
      <c r="N769" s="12" t="str">
        <f t="shared" si="58"/>
        <v/>
      </c>
      <c r="O769" s="36" t="str">
        <f t="shared" si="59"/>
        <v/>
      </c>
    </row>
    <row r="770" spans="1:15" x14ac:dyDescent="0.25">
      <c r="A770" s="34"/>
      <c r="B770" s="33"/>
      <c r="C770" s="34"/>
      <c r="D770" s="34"/>
      <c r="E770" s="34"/>
      <c r="F770" s="34"/>
      <c r="G770" s="35"/>
      <c r="H770" s="34"/>
      <c r="I770" s="5" t="str">
        <f t="shared" si="55"/>
        <v/>
      </c>
      <c r="J770" s="12" t="str">
        <f t="shared" si="56"/>
        <v/>
      </c>
      <c r="K770" s="37" t="str">
        <f>IF(A770="","",Inputs!$B$11-B770)</f>
        <v/>
      </c>
      <c r="L770" s="5" t="str">
        <f>IF(A770="","",IF(I770&lt;=0,"Sold out",IF(K770&gt;=Inputs!$B$18,"Dead",IF(K770&gt;=Inputs!$B$17,"Ageing",IF(K770&gt;=Inputs!$B$16,"Watch","Fresh")))))</f>
        <v/>
      </c>
      <c r="M770" s="5" t="str">
        <f t="shared" si="57"/>
        <v/>
      </c>
      <c r="N770" s="12" t="str">
        <f t="shared" si="58"/>
        <v/>
      </c>
      <c r="O770" s="36" t="str">
        <f t="shared" si="59"/>
        <v/>
      </c>
    </row>
    <row r="771" spans="1:15" x14ac:dyDescent="0.25">
      <c r="A771" s="34"/>
      <c r="B771" s="33"/>
      <c r="C771" s="34"/>
      <c r="D771" s="34"/>
      <c r="E771" s="34"/>
      <c r="F771" s="34"/>
      <c r="G771" s="35"/>
      <c r="H771" s="34"/>
      <c r="I771" s="5" t="str">
        <f t="shared" si="55"/>
        <v/>
      </c>
      <c r="J771" s="12" t="str">
        <f t="shared" si="56"/>
        <v/>
      </c>
      <c r="K771" s="37" t="str">
        <f>IF(A771="","",Inputs!$B$11-B771)</f>
        <v/>
      </c>
      <c r="L771" s="5" t="str">
        <f>IF(A771="","",IF(I771&lt;=0,"Sold out",IF(K771&gt;=Inputs!$B$18,"Dead",IF(K771&gt;=Inputs!$B$17,"Ageing",IF(K771&gt;=Inputs!$B$16,"Watch","Fresh")))))</f>
        <v/>
      </c>
      <c r="M771" s="5" t="str">
        <f t="shared" si="57"/>
        <v/>
      </c>
      <c r="N771" s="12" t="str">
        <f t="shared" si="58"/>
        <v/>
      </c>
      <c r="O771" s="36" t="str">
        <f t="shared" si="59"/>
        <v/>
      </c>
    </row>
    <row r="772" spans="1:15" x14ac:dyDescent="0.25">
      <c r="A772" s="34"/>
      <c r="B772" s="33"/>
      <c r="C772" s="34"/>
      <c r="D772" s="34"/>
      <c r="E772" s="34"/>
      <c r="F772" s="34"/>
      <c r="G772" s="35"/>
      <c r="H772" s="34"/>
      <c r="I772" s="5" t="str">
        <f t="shared" si="55"/>
        <v/>
      </c>
      <c r="J772" s="12" t="str">
        <f t="shared" si="56"/>
        <v/>
      </c>
      <c r="K772" s="37" t="str">
        <f>IF(A772="","",Inputs!$B$11-B772)</f>
        <v/>
      </c>
      <c r="L772" s="5" t="str">
        <f>IF(A772="","",IF(I772&lt;=0,"Sold out",IF(K772&gt;=Inputs!$B$18,"Dead",IF(K772&gt;=Inputs!$B$17,"Ageing",IF(K772&gt;=Inputs!$B$16,"Watch","Fresh")))))</f>
        <v/>
      </c>
      <c r="M772" s="5" t="str">
        <f t="shared" si="57"/>
        <v/>
      </c>
      <c r="N772" s="12" t="str">
        <f t="shared" si="58"/>
        <v/>
      </c>
      <c r="O772" s="36" t="str">
        <f t="shared" si="59"/>
        <v/>
      </c>
    </row>
    <row r="773" spans="1:15" x14ac:dyDescent="0.25">
      <c r="A773" s="34"/>
      <c r="B773" s="33"/>
      <c r="C773" s="34"/>
      <c r="D773" s="34"/>
      <c r="E773" s="34"/>
      <c r="F773" s="34"/>
      <c r="G773" s="35"/>
      <c r="H773" s="34"/>
      <c r="I773" s="5" t="str">
        <f t="shared" si="55"/>
        <v/>
      </c>
      <c r="J773" s="12" t="str">
        <f t="shared" si="56"/>
        <v/>
      </c>
      <c r="K773" s="37" t="str">
        <f>IF(A773="","",Inputs!$B$11-B773)</f>
        <v/>
      </c>
      <c r="L773" s="5" t="str">
        <f>IF(A773="","",IF(I773&lt;=0,"Sold out",IF(K773&gt;=Inputs!$B$18,"Dead",IF(K773&gt;=Inputs!$B$17,"Ageing",IF(K773&gt;=Inputs!$B$16,"Watch","Fresh")))))</f>
        <v/>
      </c>
      <c r="M773" s="5" t="str">
        <f t="shared" si="57"/>
        <v/>
      </c>
      <c r="N773" s="12" t="str">
        <f t="shared" si="58"/>
        <v/>
      </c>
      <c r="O773" s="36" t="str">
        <f t="shared" si="59"/>
        <v/>
      </c>
    </row>
    <row r="774" spans="1:15" x14ac:dyDescent="0.25">
      <c r="A774" s="34"/>
      <c r="B774" s="33"/>
      <c r="C774" s="34"/>
      <c r="D774" s="34"/>
      <c r="E774" s="34"/>
      <c r="F774" s="34"/>
      <c r="G774" s="35"/>
      <c r="H774" s="34"/>
      <c r="I774" s="5" t="str">
        <f t="shared" ref="I774:I837" si="60">IF(A774="","",F774-H774)</f>
        <v/>
      </c>
      <c r="J774" s="12" t="str">
        <f t="shared" ref="J774:J837" si="61">IF(A774="","",I774*G774)</f>
        <v/>
      </c>
      <c r="K774" s="37" t="str">
        <f>IF(A774="","",Inputs!$B$11-B774)</f>
        <v/>
      </c>
      <c r="L774" s="5" t="str">
        <f>IF(A774="","",IF(I774&lt;=0,"Sold out",IF(K774&gt;=Inputs!$B$18,"Dead",IF(K774&gt;=Inputs!$B$17,"Ageing",IF(K774&gt;=Inputs!$B$16,"Watch","Fresh")))))</f>
        <v/>
      </c>
      <c r="M774" s="5" t="str">
        <f t="shared" ref="M774:M837" si="62">IF(L774="","",IF(L774="Dead","Clearance / exchange with vendor",IF(L774="Ageing","Markdown 20-30%",IF(L774="Watch","Push in reels &amp; WhatsApp broadcast",IF(L774="Fresh","OK","-")))))</f>
        <v/>
      </c>
      <c r="N774" s="12" t="str">
        <f t="shared" ref="N774:N837" si="63">IF(A774="","",F774*G774)</f>
        <v/>
      </c>
      <c r="O774" s="36" t="str">
        <f t="shared" ref="O774:O837" si="64">IF(B774="","",DATE(YEAR(B774),MONTH(B774),1))</f>
        <v/>
      </c>
    </row>
    <row r="775" spans="1:15" x14ac:dyDescent="0.25">
      <c r="A775" s="34"/>
      <c r="B775" s="33"/>
      <c r="C775" s="34"/>
      <c r="D775" s="34"/>
      <c r="E775" s="34"/>
      <c r="F775" s="34"/>
      <c r="G775" s="35"/>
      <c r="H775" s="34"/>
      <c r="I775" s="5" t="str">
        <f t="shared" si="60"/>
        <v/>
      </c>
      <c r="J775" s="12" t="str">
        <f t="shared" si="61"/>
        <v/>
      </c>
      <c r="K775" s="37" t="str">
        <f>IF(A775="","",Inputs!$B$11-B775)</f>
        <v/>
      </c>
      <c r="L775" s="5" t="str">
        <f>IF(A775="","",IF(I775&lt;=0,"Sold out",IF(K775&gt;=Inputs!$B$18,"Dead",IF(K775&gt;=Inputs!$B$17,"Ageing",IF(K775&gt;=Inputs!$B$16,"Watch","Fresh")))))</f>
        <v/>
      </c>
      <c r="M775" s="5" t="str">
        <f t="shared" si="62"/>
        <v/>
      </c>
      <c r="N775" s="12" t="str">
        <f t="shared" si="63"/>
        <v/>
      </c>
      <c r="O775" s="36" t="str">
        <f t="shared" si="64"/>
        <v/>
      </c>
    </row>
    <row r="776" spans="1:15" x14ac:dyDescent="0.25">
      <c r="A776" s="34"/>
      <c r="B776" s="33"/>
      <c r="C776" s="34"/>
      <c r="D776" s="34"/>
      <c r="E776" s="34"/>
      <c r="F776" s="34"/>
      <c r="G776" s="35"/>
      <c r="H776" s="34"/>
      <c r="I776" s="5" t="str">
        <f t="shared" si="60"/>
        <v/>
      </c>
      <c r="J776" s="12" t="str">
        <f t="shared" si="61"/>
        <v/>
      </c>
      <c r="K776" s="37" t="str">
        <f>IF(A776="","",Inputs!$B$11-B776)</f>
        <v/>
      </c>
      <c r="L776" s="5" t="str">
        <f>IF(A776="","",IF(I776&lt;=0,"Sold out",IF(K776&gt;=Inputs!$B$18,"Dead",IF(K776&gt;=Inputs!$B$17,"Ageing",IF(K776&gt;=Inputs!$B$16,"Watch","Fresh")))))</f>
        <v/>
      </c>
      <c r="M776" s="5" t="str">
        <f t="shared" si="62"/>
        <v/>
      </c>
      <c r="N776" s="12" t="str">
        <f t="shared" si="63"/>
        <v/>
      </c>
      <c r="O776" s="36" t="str">
        <f t="shared" si="64"/>
        <v/>
      </c>
    </row>
    <row r="777" spans="1:15" x14ac:dyDescent="0.25">
      <c r="A777" s="34"/>
      <c r="B777" s="33"/>
      <c r="C777" s="34"/>
      <c r="D777" s="34"/>
      <c r="E777" s="34"/>
      <c r="F777" s="34"/>
      <c r="G777" s="35"/>
      <c r="H777" s="34"/>
      <c r="I777" s="5" t="str">
        <f t="shared" si="60"/>
        <v/>
      </c>
      <c r="J777" s="12" t="str">
        <f t="shared" si="61"/>
        <v/>
      </c>
      <c r="K777" s="37" t="str">
        <f>IF(A777="","",Inputs!$B$11-B777)</f>
        <v/>
      </c>
      <c r="L777" s="5" t="str">
        <f>IF(A777="","",IF(I777&lt;=0,"Sold out",IF(K777&gt;=Inputs!$B$18,"Dead",IF(K777&gt;=Inputs!$B$17,"Ageing",IF(K777&gt;=Inputs!$B$16,"Watch","Fresh")))))</f>
        <v/>
      </c>
      <c r="M777" s="5" t="str">
        <f t="shared" si="62"/>
        <v/>
      </c>
      <c r="N777" s="12" t="str">
        <f t="shared" si="63"/>
        <v/>
      </c>
      <c r="O777" s="36" t="str">
        <f t="shared" si="64"/>
        <v/>
      </c>
    </row>
    <row r="778" spans="1:15" x14ac:dyDescent="0.25">
      <c r="A778" s="34"/>
      <c r="B778" s="33"/>
      <c r="C778" s="34"/>
      <c r="D778" s="34"/>
      <c r="E778" s="34"/>
      <c r="F778" s="34"/>
      <c r="G778" s="35"/>
      <c r="H778" s="34"/>
      <c r="I778" s="5" t="str">
        <f t="shared" si="60"/>
        <v/>
      </c>
      <c r="J778" s="12" t="str">
        <f t="shared" si="61"/>
        <v/>
      </c>
      <c r="K778" s="37" t="str">
        <f>IF(A778="","",Inputs!$B$11-B778)</f>
        <v/>
      </c>
      <c r="L778" s="5" t="str">
        <f>IF(A778="","",IF(I778&lt;=0,"Sold out",IF(K778&gt;=Inputs!$B$18,"Dead",IF(K778&gt;=Inputs!$B$17,"Ageing",IF(K778&gt;=Inputs!$B$16,"Watch","Fresh")))))</f>
        <v/>
      </c>
      <c r="M778" s="5" t="str">
        <f t="shared" si="62"/>
        <v/>
      </c>
      <c r="N778" s="12" t="str">
        <f t="shared" si="63"/>
        <v/>
      </c>
      <c r="O778" s="36" t="str">
        <f t="shared" si="64"/>
        <v/>
      </c>
    </row>
    <row r="779" spans="1:15" x14ac:dyDescent="0.25">
      <c r="A779" s="34"/>
      <c r="B779" s="33"/>
      <c r="C779" s="34"/>
      <c r="D779" s="34"/>
      <c r="E779" s="34"/>
      <c r="F779" s="34"/>
      <c r="G779" s="35"/>
      <c r="H779" s="34"/>
      <c r="I779" s="5" t="str">
        <f t="shared" si="60"/>
        <v/>
      </c>
      <c r="J779" s="12" t="str">
        <f t="shared" si="61"/>
        <v/>
      </c>
      <c r="K779" s="37" t="str">
        <f>IF(A779="","",Inputs!$B$11-B779)</f>
        <v/>
      </c>
      <c r="L779" s="5" t="str">
        <f>IF(A779="","",IF(I779&lt;=0,"Sold out",IF(K779&gt;=Inputs!$B$18,"Dead",IF(K779&gt;=Inputs!$B$17,"Ageing",IF(K779&gt;=Inputs!$B$16,"Watch","Fresh")))))</f>
        <v/>
      </c>
      <c r="M779" s="5" t="str">
        <f t="shared" si="62"/>
        <v/>
      </c>
      <c r="N779" s="12" t="str">
        <f t="shared" si="63"/>
        <v/>
      </c>
      <c r="O779" s="36" t="str">
        <f t="shared" si="64"/>
        <v/>
      </c>
    </row>
    <row r="780" spans="1:15" x14ac:dyDescent="0.25">
      <c r="A780" s="34"/>
      <c r="B780" s="33"/>
      <c r="C780" s="34"/>
      <c r="D780" s="34"/>
      <c r="E780" s="34"/>
      <c r="F780" s="34"/>
      <c r="G780" s="35"/>
      <c r="H780" s="34"/>
      <c r="I780" s="5" t="str">
        <f t="shared" si="60"/>
        <v/>
      </c>
      <c r="J780" s="12" t="str">
        <f t="shared" si="61"/>
        <v/>
      </c>
      <c r="K780" s="37" t="str">
        <f>IF(A780="","",Inputs!$B$11-B780)</f>
        <v/>
      </c>
      <c r="L780" s="5" t="str">
        <f>IF(A780="","",IF(I780&lt;=0,"Sold out",IF(K780&gt;=Inputs!$B$18,"Dead",IF(K780&gt;=Inputs!$B$17,"Ageing",IF(K780&gt;=Inputs!$B$16,"Watch","Fresh")))))</f>
        <v/>
      </c>
      <c r="M780" s="5" t="str">
        <f t="shared" si="62"/>
        <v/>
      </c>
      <c r="N780" s="12" t="str">
        <f t="shared" si="63"/>
        <v/>
      </c>
      <c r="O780" s="36" t="str">
        <f t="shared" si="64"/>
        <v/>
      </c>
    </row>
    <row r="781" spans="1:15" x14ac:dyDescent="0.25">
      <c r="A781" s="34"/>
      <c r="B781" s="33"/>
      <c r="C781" s="34"/>
      <c r="D781" s="34"/>
      <c r="E781" s="34"/>
      <c r="F781" s="34"/>
      <c r="G781" s="35"/>
      <c r="H781" s="34"/>
      <c r="I781" s="5" t="str">
        <f t="shared" si="60"/>
        <v/>
      </c>
      <c r="J781" s="12" t="str">
        <f t="shared" si="61"/>
        <v/>
      </c>
      <c r="K781" s="37" t="str">
        <f>IF(A781="","",Inputs!$B$11-B781)</f>
        <v/>
      </c>
      <c r="L781" s="5" t="str">
        <f>IF(A781="","",IF(I781&lt;=0,"Sold out",IF(K781&gt;=Inputs!$B$18,"Dead",IF(K781&gt;=Inputs!$B$17,"Ageing",IF(K781&gt;=Inputs!$B$16,"Watch","Fresh")))))</f>
        <v/>
      </c>
      <c r="M781" s="5" t="str">
        <f t="shared" si="62"/>
        <v/>
      </c>
      <c r="N781" s="12" t="str">
        <f t="shared" si="63"/>
        <v/>
      </c>
      <c r="O781" s="36" t="str">
        <f t="shared" si="64"/>
        <v/>
      </c>
    </row>
    <row r="782" spans="1:15" x14ac:dyDescent="0.25">
      <c r="A782" s="34"/>
      <c r="B782" s="33"/>
      <c r="C782" s="34"/>
      <c r="D782" s="34"/>
      <c r="E782" s="34"/>
      <c r="F782" s="34"/>
      <c r="G782" s="35"/>
      <c r="H782" s="34"/>
      <c r="I782" s="5" t="str">
        <f t="shared" si="60"/>
        <v/>
      </c>
      <c r="J782" s="12" t="str">
        <f t="shared" si="61"/>
        <v/>
      </c>
      <c r="K782" s="37" t="str">
        <f>IF(A782="","",Inputs!$B$11-B782)</f>
        <v/>
      </c>
      <c r="L782" s="5" t="str">
        <f>IF(A782="","",IF(I782&lt;=0,"Sold out",IF(K782&gt;=Inputs!$B$18,"Dead",IF(K782&gt;=Inputs!$B$17,"Ageing",IF(K782&gt;=Inputs!$B$16,"Watch","Fresh")))))</f>
        <v/>
      </c>
      <c r="M782" s="5" t="str">
        <f t="shared" si="62"/>
        <v/>
      </c>
      <c r="N782" s="12" t="str">
        <f t="shared" si="63"/>
        <v/>
      </c>
      <c r="O782" s="36" t="str">
        <f t="shared" si="64"/>
        <v/>
      </c>
    </row>
    <row r="783" spans="1:15" x14ac:dyDescent="0.25">
      <c r="A783" s="34"/>
      <c r="B783" s="33"/>
      <c r="C783" s="34"/>
      <c r="D783" s="34"/>
      <c r="E783" s="34"/>
      <c r="F783" s="34"/>
      <c r="G783" s="35"/>
      <c r="H783" s="34"/>
      <c r="I783" s="5" t="str">
        <f t="shared" si="60"/>
        <v/>
      </c>
      <c r="J783" s="12" t="str">
        <f t="shared" si="61"/>
        <v/>
      </c>
      <c r="K783" s="37" t="str">
        <f>IF(A783="","",Inputs!$B$11-B783)</f>
        <v/>
      </c>
      <c r="L783" s="5" t="str">
        <f>IF(A783="","",IF(I783&lt;=0,"Sold out",IF(K783&gt;=Inputs!$B$18,"Dead",IF(K783&gt;=Inputs!$B$17,"Ageing",IF(K783&gt;=Inputs!$B$16,"Watch","Fresh")))))</f>
        <v/>
      </c>
      <c r="M783" s="5" t="str">
        <f t="shared" si="62"/>
        <v/>
      </c>
      <c r="N783" s="12" t="str">
        <f t="shared" si="63"/>
        <v/>
      </c>
      <c r="O783" s="36" t="str">
        <f t="shared" si="64"/>
        <v/>
      </c>
    </row>
    <row r="784" spans="1:15" x14ac:dyDescent="0.25">
      <c r="A784" s="34"/>
      <c r="B784" s="33"/>
      <c r="C784" s="34"/>
      <c r="D784" s="34"/>
      <c r="E784" s="34"/>
      <c r="F784" s="34"/>
      <c r="G784" s="35"/>
      <c r="H784" s="34"/>
      <c r="I784" s="5" t="str">
        <f t="shared" si="60"/>
        <v/>
      </c>
      <c r="J784" s="12" t="str">
        <f t="shared" si="61"/>
        <v/>
      </c>
      <c r="K784" s="37" t="str">
        <f>IF(A784="","",Inputs!$B$11-B784)</f>
        <v/>
      </c>
      <c r="L784" s="5" t="str">
        <f>IF(A784="","",IF(I784&lt;=0,"Sold out",IF(K784&gt;=Inputs!$B$18,"Dead",IF(K784&gt;=Inputs!$B$17,"Ageing",IF(K784&gt;=Inputs!$B$16,"Watch","Fresh")))))</f>
        <v/>
      </c>
      <c r="M784" s="5" t="str">
        <f t="shared" si="62"/>
        <v/>
      </c>
      <c r="N784" s="12" t="str">
        <f t="shared" si="63"/>
        <v/>
      </c>
      <c r="O784" s="36" t="str">
        <f t="shared" si="64"/>
        <v/>
      </c>
    </row>
    <row r="785" spans="1:15" x14ac:dyDescent="0.25">
      <c r="A785" s="34"/>
      <c r="B785" s="33"/>
      <c r="C785" s="34"/>
      <c r="D785" s="34"/>
      <c r="E785" s="34"/>
      <c r="F785" s="34"/>
      <c r="G785" s="35"/>
      <c r="H785" s="34"/>
      <c r="I785" s="5" t="str">
        <f t="shared" si="60"/>
        <v/>
      </c>
      <c r="J785" s="12" t="str">
        <f t="shared" si="61"/>
        <v/>
      </c>
      <c r="K785" s="37" t="str">
        <f>IF(A785="","",Inputs!$B$11-B785)</f>
        <v/>
      </c>
      <c r="L785" s="5" t="str">
        <f>IF(A785="","",IF(I785&lt;=0,"Sold out",IF(K785&gt;=Inputs!$B$18,"Dead",IF(K785&gt;=Inputs!$B$17,"Ageing",IF(K785&gt;=Inputs!$B$16,"Watch","Fresh")))))</f>
        <v/>
      </c>
      <c r="M785" s="5" t="str">
        <f t="shared" si="62"/>
        <v/>
      </c>
      <c r="N785" s="12" t="str">
        <f t="shared" si="63"/>
        <v/>
      </c>
      <c r="O785" s="36" t="str">
        <f t="shared" si="64"/>
        <v/>
      </c>
    </row>
    <row r="786" spans="1:15" x14ac:dyDescent="0.25">
      <c r="A786" s="34"/>
      <c r="B786" s="33"/>
      <c r="C786" s="34"/>
      <c r="D786" s="34"/>
      <c r="E786" s="34"/>
      <c r="F786" s="34"/>
      <c r="G786" s="35"/>
      <c r="H786" s="34"/>
      <c r="I786" s="5" t="str">
        <f t="shared" si="60"/>
        <v/>
      </c>
      <c r="J786" s="12" t="str">
        <f t="shared" si="61"/>
        <v/>
      </c>
      <c r="K786" s="37" t="str">
        <f>IF(A786="","",Inputs!$B$11-B786)</f>
        <v/>
      </c>
      <c r="L786" s="5" t="str">
        <f>IF(A786="","",IF(I786&lt;=0,"Sold out",IF(K786&gt;=Inputs!$B$18,"Dead",IF(K786&gt;=Inputs!$B$17,"Ageing",IF(K786&gt;=Inputs!$B$16,"Watch","Fresh")))))</f>
        <v/>
      </c>
      <c r="M786" s="5" t="str">
        <f t="shared" si="62"/>
        <v/>
      </c>
      <c r="N786" s="12" t="str">
        <f t="shared" si="63"/>
        <v/>
      </c>
      <c r="O786" s="36" t="str">
        <f t="shared" si="64"/>
        <v/>
      </c>
    </row>
    <row r="787" spans="1:15" x14ac:dyDescent="0.25">
      <c r="A787" s="34"/>
      <c r="B787" s="33"/>
      <c r="C787" s="34"/>
      <c r="D787" s="34"/>
      <c r="E787" s="34"/>
      <c r="F787" s="34"/>
      <c r="G787" s="35"/>
      <c r="H787" s="34"/>
      <c r="I787" s="5" t="str">
        <f t="shared" si="60"/>
        <v/>
      </c>
      <c r="J787" s="12" t="str">
        <f t="shared" si="61"/>
        <v/>
      </c>
      <c r="K787" s="37" t="str">
        <f>IF(A787="","",Inputs!$B$11-B787)</f>
        <v/>
      </c>
      <c r="L787" s="5" t="str">
        <f>IF(A787="","",IF(I787&lt;=0,"Sold out",IF(K787&gt;=Inputs!$B$18,"Dead",IF(K787&gt;=Inputs!$B$17,"Ageing",IF(K787&gt;=Inputs!$B$16,"Watch","Fresh")))))</f>
        <v/>
      </c>
      <c r="M787" s="5" t="str">
        <f t="shared" si="62"/>
        <v/>
      </c>
      <c r="N787" s="12" t="str">
        <f t="shared" si="63"/>
        <v/>
      </c>
      <c r="O787" s="36" t="str">
        <f t="shared" si="64"/>
        <v/>
      </c>
    </row>
    <row r="788" spans="1:15" x14ac:dyDescent="0.25">
      <c r="A788" s="34"/>
      <c r="B788" s="33"/>
      <c r="C788" s="34"/>
      <c r="D788" s="34"/>
      <c r="E788" s="34"/>
      <c r="F788" s="34"/>
      <c r="G788" s="35"/>
      <c r="H788" s="34"/>
      <c r="I788" s="5" t="str">
        <f t="shared" si="60"/>
        <v/>
      </c>
      <c r="J788" s="12" t="str">
        <f t="shared" si="61"/>
        <v/>
      </c>
      <c r="K788" s="37" t="str">
        <f>IF(A788="","",Inputs!$B$11-B788)</f>
        <v/>
      </c>
      <c r="L788" s="5" t="str">
        <f>IF(A788="","",IF(I788&lt;=0,"Sold out",IF(K788&gt;=Inputs!$B$18,"Dead",IF(K788&gt;=Inputs!$B$17,"Ageing",IF(K788&gt;=Inputs!$B$16,"Watch","Fresh")))))</f>
        <v/>
      </c>
      <c r="M788" s="5" t="str">
        <f t="shared" si="62"/>
        <v/>
      </c>
      <c r="N788" s="12" t="str">
        <f t="shared" si="63"/>
        <v/>
      </c>
      <c r="O788" s="36" t="str">
        <f t="shared" si="64"/>
        <v/>
      </c>
    </row>
    <row r="789" spans="1:15" x14ac:dyDescent="0.25">
      <c r="A789" s="34"/>
      <c r="B789" s="33"/>
      <c r="C789" s="34"/>
      <c r="D789" s="34"/>
      <c r="E789" s="34"/>
      <c r="F789" s="34"/>
      <c r="G789" s="35"/>
      <c r="H789" s="34"/>
      <c r="I789" s="5" t="str">
        <f t="shared" si="60"/>
        <v/>
      </c>
      <c r="J789" s="12" t="str">
        <f t="shared" si="61"/>
        <v/>
      </c>
      <c r="K789" s="37" t="str">
        <f>IF(A789="","",Inputs!$B$11-B789)</f>
        <v/>
      </c>
      <c r="L789" s="5" t="str">
        <f>IF(A789="","",IF(I789&lt;=0,"Sold out",IF(K789&gt;=Inputs!$B$18,"Dead",IF(K789&gt;=Inputs!$B$17,"Ageing",IF(K789&gt;=Inputs!$B$16,"Watch","Fresh")))))</f>
        <v/>
      </c>
      <c r="M789" s="5" t="str">
        <f t="shared" si="62"/>
        <v/>
      </c>
      <c r="N789" s="12" t="str">
        <f t="shared" si="63"/>
        <v/>
      </c>
      <c r="O789" s="36" t="str">
        <f t="shared" si="64"/>
        <v/>
      </c>
    </row>
    <row r="790" spans="1:15" x14ac:dyDescent="0.25">
      <c r="A790" s="34"/>
      <c r="B790" s="33"/>
      <c r="C790" s="34"/>
      <c r="D790" s="34"/>
      <c r="E790" s="34"/>
      <c r="F790" s="34"/>
      <c r="G790" s="35"/>
      <c r="H790" s="34"/>
      <c r="I790" s="5" t="str">
        <f t="shared" si="60"/>
        <v/>
      </c>
      <c r="J790" s="12" t="str">
        <f t="shared" si="61"/>
        <v/>
      </c>
      <c r="K790" s="37" t="str">
        <f>IF(A790="","",Inputs!$B$11-B790)</f>
        <v/>
      </c>
      <c r="L790" s="5" t="str">
        <f>IF(A790="","",IF(I790&lt;=0,"Sold out",IF(K790&gt;=Inputs!$B$18,"Dead",IF(K790&gt;=Inputs!$B$17,"Ageing",IF(K790&gt;=Inputs!$B$16,"Watch","Fresh")))))</f>
        <v/>
      </c>
      <c r="M790" s="5" t="str">
        <f t="shared" si="62"/>
        <v/>
      </c>
      <c r="N790" s="12" t="str">
        <f t="shared" si="63"/>
        <v/>
      </c>
      <c r="O790" s="36" t="str">
        <f t="shared" si="64"/>
        <v/>
      </c>
    </row>
    <row r="791" spans="1:15" x14ac:dyDescent="0.25">
      <c r="A791" s="34"/>
      <c r="B791" s="33"/>
      <c r="C791" s="34"/>
      <c r="D791" s="34"/>
      <c r="E791" s="34"/>
      <c r="F791" s="34"/>
      <c r="G791" s="35"/>
      <c r="H791" s="34"/>
      <c r="I791" s="5" t="str">
        <f t="shared" si="60"/>
        <v/>
      </c>
      <c r="J791" s="12" t="str">
        <f t="shared" si="61"/>
        <v/>
      </c>
      <c r="K791" s="37" t="str">
        <f>IF(A791="","",Inputs!$B$11-B791)</f>
        <v/>
      </c>
      <c r="L791" s="5" t="str">
        <f>IF(A791="","",IF(I791&lt;=0,"Sold out",IF(K791&gt;=Inputs!$B$18,"Dead",IF(K791&gt;=Inputs!$B$17,"Ageing",IF(K791&gt;=Inputs!$B$16,"Watch","Fresh")))))</f>
        <v/>
      </c>
      <c r="M791" s="5" t="str">
        <f t="shared" si="62"/>
        <v/>
      </c>
      <c r="N791" s="12" t="str">
        <f t="shared" si="63"/>
        <v/>
      </c>
      <c r="O791" s="36" t="str">
        <f t="shared" si="64"/>
        <v/>
      </c>
    </row>
    <row r="792" spans="1:15" x14ac:dyDescent="0.25">
      <c r="A792" s="34"/>
      <c r="B792" s="33"/>
      <c r="C792" s="34"/>
      <c r="D792" s="34"/>
      <c r="E792" s="34"/>
      <c r="F792" s="34"/>
      <c r="G792" s="35"/>
      <c r="H792" s="34"/>
      <c r="I792" s="5" t="str">
        <f t="shared" si="60"/>
        <v/>
      </c>
      <c r="J792" s="12" t="str">
        <f t="shared" si="61"/>
        <v/>
      </c>
      <c r="K792" s="37" t="str">
        <f>IF(A792="","",Inputs!$B$11-B792)</f>
        <v/>
      </c>
      <c r="L792" s="5" t="str">
        <f>IF(A792="","",IF(I792&lt;=0,"Sold out",IF(K792&gt;=Inputs!$B$18,"Dead",IF(K792&gt;=Inputs!$B$17,"Ageing",IF(K792&gt;=Inputs!$B$16,"Watch","Fresh")))))</f>
        <v/>
      </c>
      <c r="M792" s="5" t="str">
        <f t="shared" si="62"/>
        <v/>
      </c>
      <c r="N792" s="12" t="str">
        <f t="shared" si="63"/>
        <v/>
      </c>
      <c r="O792" s="36" t="str">
        <f t="shared" si="64"/>
        <v/>
      </c>
    </row>
    <row r="793" spans="1:15" x14ac:dyDescent="0.25">
      <c r="A793" s="34"/>
      <c r="B793" s="33"/>
      <c r="C793" s="34"/>
      <c r="D793" s="34"/>
      <c r="E793" s="34"/>
      <c r="F793" s="34"/>
      <c r="G793" s="35"/>
      <c r="H793" s="34"/>
      <c r="I793" s="5" t="str">
        <f t="shared" si="60"/>
        <v/>
      </c>
      <c r="J793" s="12" t="str">
        <f t="shared" si="61"/>
        <v/>
      </c>
      <c r="K793" s="37" t="str">
        <f>IF(A793="","",Inputs!$B$11-B793)</f>
        <v/>
      </c>
      <c r="L793" s="5" t="str">
        <f>IF(A793="","",IF(I793&lt;=0,"Sold out",IF(K793&gt;=Inputs!$B$18,"Dead",IF(K793&gt;=Inputs!$B$17,"Ageing",IF(K793&gt;=Inputs!$B$16,"Watch","Fresh")))))</f>
        <v/>
      </c>
      <c r="M793" s="5" t="str">
        <f t="shared" si="62"/>
        <v/>
      </c>
      <c r="N793" s="12" t="str">
        <f t="shared" si="63"/>
        <v/>
      </c>
      <c r="O793" s="36" t="str">
        <f t="shared" si="64"/>
        <v/>
      </c>
    </row>
    <row r="794" spans="1:15" x14ac:dyDescent="0.25">
      <c r="A794" s="34"/>
      <c r="B794" s="33"/>
      <c r="C794" s="34"/>
      <c r="D794" s="34"/>
      <c r="E794" s="34"/>
      <c r="F794" s="34"/>
      <c r="G794" s="35"/>
      <c r="H794" s="34"/>
      <c r="I794" s="5" t="str">
        <f t="shared" si="60"/>
        <v/>
      </c>
      <c r="J794" s="12" t="str">
        <f t="shared" si="61"/>
        <v/>
      </c>
      <c r="K794" s="37" t="str">
        <f>IF(A794="","",Inputs!$B$11-B794)</f>
        <v/>
      </c>
      <c r="L794" s="5" t="str">
        <f>IF(A794="","",IF(I794&lt;=0,"Sold out",IF(K794&gt;=Inputs!$B$18,"Dead",IF(K794&gt;=Inputs!$B$17,"Ageing",IF(K794&gt;=Inputs!$B$16,"Watch","Fresh")))))</f>
        <v/>
      </c>
      <c r="M794" s="5" t="str">
        <f t="shared" si="62"/>
        <v/>
      </c>
      <c r="N794" s="12" t="str">
        <f t="shared" si="63"/>
        <v/>
      </c>
      <c r="O794" s="36" t="str">
        <f t="shared" si="64"/>
        <v/>
      </c>
    </row>
    <row r="795" spans="1:15" x14ac:dyDescent="0.25">
      <c r="A795" s="34"/>
      <c r="B795" s="33"/>
      <c r="C795" s="34"/>
      <c r="D795" s="34"/>
      <c r="E795" s="34"/>
      <c r="F795" s="34"/>
      <c r="G795" s="35"/>
      <c r="H795" s="34"/>
      <c r="I795" s="5" t="str">
        <f t="shared" si="60"/>
        <v/>
      </c>
      <c r="J795" s="12" t="str">
        <f t="shared" si="61"/>
        <v/>
      </c>
      <c r="K795" s="37" t="str">
        <f>IF(A795="","",Inputs!$B$11-B795)</f>
        <v/>
      </c>
      <c r="L795" s="5" t="str">
        <f>IF(A795="","",IF(I795&lt;=0,"Sold out",IF(K795&gt;=Inputs!$B$18,"Dead",IF(K795&gt;=Inputs!$B$17,"Ageing",IF(K795&gt;=Inputs!$B$16,"Watch","Fresh")))))</f>
        <v/>
      </c>
      <c r="M795" s="5" t="str">
        <f t="shared" si="62"/>
        <v/>
      </c>
      <c r="N795" s="12" t="str">
        <f t="shared" si="63"/>
        <v/>
      </c>
      <c r="O795" s="36" t="str">
        <f t="shared" si="64"/>
        <v/>
      </c>
    </row>
    <row r="796" spans="1:15" x14ac:dyDescent="0.25">
      <c r="A796" s="34"/>
      <c r="B796" s="33"/>
      <c r="C796" s="34"/>
      <c r="D796" s="34"/>
      <c r="E796" s="34"/>
      <c r="F796" s="34"/>
      <c r="G796" s="35"/>
      <c r="H796" s="34"/>
      <c r="I796" s="5" t="str">
        <f t="shared" si="60"/>
        <v/>
      </c>
      <c r="J796" s="12" t="str">
        <f t="shared" si="61"/>
        <v/>
      </c>
      <c r="K796" s="37" t="str">
        <f>IF(A796="","",Inputs!$B$11-B796)</f>
        <v/>
      </c>
      <c r="L796" s="5" t="str">
        <f>IF(A796="","",IF(I796&lt;=0,"Sold out",IF(K796&gt;=Inputs!$B$18,"Dead",IF(K796&gt;=Inputs!$B$17,"Ageing",IF(K796&gt;=Inputs!$B$16,"Watch","Fresh")))))</f>
        <v/>
      </c>
      <c r="M796" s="5" t="str">
        <f t="shared" si="62"/>
        <v/>
      </c>
      <c r="N796" s="12" t="str">
        <f t="shared" si="63"/>
        <v/>
      </c>
      <c r="O796" s="36" t="str">
        <f t="shared" si="64"/>
        <v/>
      </c>
    </row>
    <row r="797" spans="1:15" x14ac:dyDescent="0.25">
      <c r="A797" s="34"/>
      <c r="B797" s="33"/>
      <c r="C797" s="34"/>
      <c r="D797" s="34"/>
      <c r="E797" s="34"/>
      <c r="F797" s="34"/>
      <c r="G797" s="35"/>
      <c r="H797" s="34"/>
      <c r="I797" s="5" t="str">
        <f t="shared" si="60"/>
        <v/>
      </c>
      <c r="J797" s="12" t="str">
        <f t="shared" si="61"/>
        <v/>
      </c>
      <c r="K797" s="37" t="str">
        <f>IF(A797="","",Inputs!$B$11-B797)</f>
        <v/>
      </c>
      <c r="L797" s="5" t="str">
        <f>IF(A797="","",IF(I797&lt;=0,"Sold out",IF(K797&gt;=Inputs!$B$18,"Dead",IF(K797&gt;=Inputs!$B$17,"Ageing",IF(K797&gt;=Inputs!$B$16,"Watch","Fresh")))))</f>
        <v/>
      </c>
      <c r="M797" s="5" t="str">
        <f t="shared" si="62"/>
        <v/>
      </c>
      <c r="N797" s="12" t="str">
        <f t="shared" si="63"/>
        <v/>
      </c>
      <c r="O797" s="36" t="str">
        <f t="shared" si="64"/>
        <v/>
      </c>
    </row>
    <row r="798" spans="1:15" x14ac:dyDescent="0.25">
      <c r="A798" s="34"/>
      <c r="B798" s="33"/>
      <c r="C798" s="34"/>
      <c r="D798" s="34"/>
      <c r="E798" s="34"/>
      <c r="F798" s="34"/>
      <c r="G798" s="35"/>
      <c r="H798" s="34"/>
      <c r="I798" s="5" t="str">
        <f t="shared" si="60"/>
        <v/>
      </c>
      <c r="J798" s="12" t="str">
        <f t="shared" si="61"/>
        <v/>
      </c>
      <c r="K798" s="37" t="str">
        <f>IF(A798="","",Inputs!$B$11-B798)</f>
        <v/>
      </c>
      <c r="L798" s="5" t="str">
        <f>IF(A798="","",IF(I798&lt;=0,"Sold out",IF(K798&gt;=Inputs!$B$18,"Dead",IF(K798&gt;=Inputs!$B$17,"Ageing",IF(K798&gt;=Inputs!$B$16,"Watch","Fresh")))))</f>
        <v/>
      </c>
      <c r="M798" s="5" t="str">
        <f t="shared" si="62"/>
        <v/>
      </c>
      <c r="N798" s="12" t="str">
        <f t="shared" si="63"/>
        <v/>
      </c>
      <c r="O798" s="36" t="str">
        <f t="shared" si="64"/>
        <v/>
      </c>
    </row>
    <row r="799" spans="1:15" x14ac:dyDescent="0.25">
      <c r="A799" s="34"/>
      <c r="B799" s="33"/>
      <c r="C799" s="34"/>
      <c r="D799" s="34"/>
      <c r="E799" s="34"/>
      <c r="F799" s="34"/>
      <c r="G799" s="35"/>
      <c r="H799" s="34"/>
      <c r="I799" s="5" t="str">
        <f t="shared" si="60"/>
        <v/>
      </c>
      <c r="J799" s="12" t="str">
        <f t="shared" si="61"/>
        <v/>
      </c>
      <c r="K799" s="37" t="str">
        <f>IF(A799="","",Inputs!$B$11-B799)</f>
        <v/>
      </c>
      <c r="L799" s="5" t="str">
        <f>IF(A799="","",IF(I799&lt;=0,"Sold out",IF(K799&gt;=Inputs!$B$18,"Dead",IF(K799&gt;=Inputs!$B$17,"Ageing",IF(K799&gt;=Inputs!$B$16,"Watch","Fresh")))))</f>
        <v/>
      </c>
      <c r="M799" s="5" t="str">
        <f t="shared" si="62"/>
        <v/>
      </c>
      <c r="N799" s="12" t="str">
        <f t="shared" si="63"/>
        <v/>
      </c>
      <c r="O799" s="36" t="str">
        <f t="shared" si="64"/>
        <v/>
      </c>
    </row>
    <row r="800" spans="1:15" x14ac:dyDescent="0.25">
      <c r="A800" s="34"/>
      <c r="B800" s="33"/>
      <c r="C800" s="34"/>
      <c r="D800" s="34"/>
      <c r="E800" s="34"/>
      <c r="F800" s="34"/>
      <c r="G800" s="35"/>
      <c r="H800" s="34"/>
      <c r="I800" s="5" t="str">
        <f t="shared" si="60"/>
        <v/>
      </c>
      <c r="J800" s="12" t="str">
        <f t="shared" si="61"/>
        <v/>
      </c>
      <c r="K800" s="37" t="str">
        <f>IF(A800="","",Inputs!$B$11-B800)</f>
        <v/>
      </c>
      <c r="L800" s="5" t="str">
        <f>IF(A800="","",IF(I800&lt;=0,"Sold out",IF(K800&gt;=Inputs!$B$18,"Dead",IF(K800&gt;=Inputs!$B$17,"Ageing",IF(K800&gt;=Inputs!$B$16,"Watch","Fresh")))))</f>
        <v/>
      </c>
      <c r="M800" s="5" t="str">
        <f t="shared" si="62"/>
        <v/>
      </c>
      <c r="N800" s="12" t="str">
        <f t="shared" si="63"/>
        <v/>
      </c>
      <c r="O800" s="36" t="str">
        <f t="shared" si="64"/>
        <v/>
      </c>
    </row>
    <row r="801" spans="1:15" x14ac:dyDescent="0.25">
      <c r="A801" s="34"/>
      <c r="B801" s="33"/>
      <c r="C801" s="34"/>
      <c r="D801" s="34"/>
      <c r="E801" s="34"/>
      <c r="F801" s="34"/>
      <c r="G801" s="35"/>
      <c r="H801" s="34"/>
      <c r="I801" s="5" t="str">
        <f t="shared" si="60"/>
        <v/>
      </c>
      <c r="J801" s="12" t="str">
        <f t="shared" si="61"/>
        <v/>
      </c>
      <c r="K801" s="37" t="str">
        <f>IF(A801="","",Inputs!$B$11-B801)</f>
        <v/>
      </c>
      <c r="L801" s="5" t="str">
        <f>IF(A801="","",IF(I801&lt;=0,"Sold out",IF(K801&gt;=Inputs!$B$18,"Dead",IF(K801&gt;=Inputs!$B$17,"Ageing",IF(K801&gt;=Inputs!$B$16,"Watch","Fresh")))))</f>
        <v/>
      </c>
      <c r="M801" s="5" t="str">
        <f t="shared" si="62"/>
        <v/>
      </c>
      <c r="N801" s="12" t="str">
        <f t="shared" si="63"/>
        <v/>
      </c>
      <c r="O801" s="36" t="str">
        <f t="shared" si="64"/>
        <v/>
      </c>
    </row>
    <row r="802" spans="1:15" x14ac:dyDescent="0.25">
      <c r="A802" s="34"/>
      <c r="B802" s="33"/>
      <c r="C802" s="34"/>
      <c r="D802" s="34"/>
      <c r="E802" s="34"/>
      <c r="F802" s="34"/>
      <c r="G802" s="35"/>
      <c r="H802" s="34"/>
      <c r="I802" s="5" t="str">
        <f t="shared" si="60"/>
        <v/>
      </c>
      <c r="J802" s="12" t="str">
        <f t="shared" si="61"/>
        <v/>
      </c>
      <c r="K802" s="37" t="str">
        <f>IF(A802="","",Inputs!$B$11-B802)</f>
        <v/>
      </c>
      <c r="L802" s="5" t="str">
        <f>IF(A802="","",IF(I802&lt;=0,"Sold out",IF(K802&gt;=Inputs!$B$18,"Dead",IF(K802&gt;=Inputs!$B$17,"Ageing",IF(K802&gt;=Inputs!$B$16,"Watch","Fresh")))))</f>
        <v/>
      </c>
      <c r="M802" s="5" t="str">
        <f t="shared" si="62"/>
        <v/>
      </c>
      <c r="N802" s="12" t="str">
        <f t="shared" si="63"/>
        <v/>
      </c>
      <c r="O802" s="36" t="str">
        <f t="shared" si="64"/>
        <v/>
      </c>
    </row>
    <row r="803" spans="1:15" x14ac:dyDescent="0.25">
      <c r="A803" s="34"/>
      <c r="B803" s="33"/>
      <c r="C803" s="34"/>
      <c r="D803" s="34"/>
      <c r="E803" s="34"/>
      <c r="F803" s="34"/>
      <c r="G803" s="35"/>
      <c r="H803" s="34"/>
      <c r="I803" s="5" t="str">
        <f t="shared" si="60"/>
        <v/>
      </c>
      <c r="J803" s="12" t="str">
        <f t="shared" si="61"/>
        <v/>
      </c>
      <c r="K803" s="37" t="str">
        <f>IF(A803="","",Inputs!$B$11-B803)</f>
        <v/>
      </c>
      <c r="L803" s="5" t="str">
        <f>IF(A803="","",IF(I803&lt;=0,"Sold out",IF(K803&gt;=Inputs!$B$18,"Dead",IF(K803&gt;=Inputs!$B$17,"Ageing",IF(K803&gt;=Inputs!$B$16,"Watch","Fresh")))))</f>
        <v/>
      </c>
      <c r="M803" s="5" t="str">
        <f t="shared" si="62"/>
        <v/>
      </c>
      <c r="N803" s="12" t="str">
        <f t="shared" si="63"/>
        <v/>
      </c>
      <c r="O803" s="36" t="str">
        <f t="shared" si="64"/>
        <v/>
      </c>
    </row>
    <row r="804" spans="1:15" x14ac:dyDescent="0.25">
      <c r="A804" s="34"/>
      <c r="B804" s="33"/>
      <c r="C804" s="34"/>
      <c r="D804" s="34"/>
      <c r="E804" s="34"/>
      <c r="F804" s="34"/>
      <c r="G804" s="35"/>
      <c r="H804" s="34"/>
      <c r="I804" s="5" t="str">
        <f t="shared" si="60"/>
        <v/>
      </c>
      <c r="J804" s="12" t="str">
        <f t="shared" si="61"/>
        <v/>
      </c>
      <c r="K804" s="37" t="str">
        <f>IF(A804="","",Inputs!$B$11-B804)</f>
        <v/>
      </c>
      <c r="L804" s="5" t="str">
        <f>IF(A804="","",IF(I804&lt;=0,"Sold out",IF(K804&gt;=Inputs!$B$18,"Dead",IF(K804&gt;=Inputs!$B$17,"Ageing",IF(K804&gt;=Inputs!$B$16,"Watch","Fresh")))))</f>
        <v/>
      </c>
      <c r="M804" s="5" t="str">
        <f t="shared" si="62"/>
        <v/>
      </c>
      <c r="N804" s="12" t="str">
        <f t="shared" si="63"/>
        <v/>
      </c>
      <c r="O804" s="36" t="str">
        <f t="shared" si="64"/>
        <v/>
      </c>
    </row>
    <row r="805" spans="1:15" x14ac:dyDescent="0.25">
      <c r="A805" s="34"/>
      <c r="B805" s="33"/>
      <c r="C805" s="34"/>
      <c r="D805" s="34"/>
      <c r="E805" s="34"/>
      <c r="F805" s="34"/>
      <c r="G805" s="35"/>
      <c r="H805" s="34"/>
      <c r="I805" s="5" t="str">
        <f t="shared" si="60"/>
        <v/>
      </c>
      <c r="J805" s="12" t="str">
        <f t="shared" si="61"/>
        <v/>
      </c>
      <c r="K805" s="37" t="str">
        <f>IF(A805="","",Inputs!$B$11-B805)</f>
        <v/>
      </c>
      <c r="L805" s="5" t="str">
        <f>IF(A805="","",IF(I805&lt;=0,"Sold out",IF(K805&gt;=Inputs!$B$18,"Dead",IF(K805&gt;=Inputs!$B$17,"Ageing",IF(K805&gt;=Inputs!$B$16,"Watch","Fresh")))))</f>
        <v/>
      </c>
      <c r="M805" s="5" t="str">
        <f t="shared" si="62"/>
        <v/>
      </c>
      <c r="N805" s="12" t="str">
        <f t="shared" si="63"/>
        <v/>
      </c>
      <c r="O805" s="36" t="str">
        <f t="shared" si="64"/>
        <v/>
      </c>
    </row>
    <row r="806" spans="1:15" x14ac:dyDescent="0.25">
      <c r="A806" s="34"/>
      <c r="B806" s="33"/>
      <c r="C806" s="34"/>
      <c r="D806" s="34"/>
      <c r="E806" s="34"/>
      <c r="F806" s="34"/>
      <c r="G806" s="35"/>
      <c r="H806" s="34"/>
      <c r="I806" s="5" t="str">
        <f t="shared" si="60"/>
        <v/>
      </c>
      <c r="J806" s="12" t="str">
        <f t="shared" si="61"/>
        <v/>
      </c>
      <c r="K806" s="37" t="str">
        <f>IF(A806="","",Inputs!$B$11-B806)</f>
        <v/>
      </c>
      <c r="L806" s="5" t="str">
        <f>IF(A806="","",IF(I806&lt;=0,"Sold out",IF(K806&gt;=Inputs!$B$18,"Dead",IF(K806&gt;=Inputs!$B$17,"Ageing",IF(K806&gt;=Inputs!$B$16,"Watch","Fresh")))))</f>
        <v/>
      </c>
      <c r="M806" s="5" t="str">
        <f t="shared" si="62"/>
        <v/>
      </c>
      <c r="N806" s="12" t="str">
        <f t="shared" si="63"/>
        <v/>
      </c>
      <c r="O806" s="36" t="str">
        <f t="shared" si="64"/>
        <v/>
      </c>
    </row>
    <row r="807" spans="1:15" x14ac:dyDescent="0.25">
      <c r="A807" s="34"/>
      <c r="B807" s="33"/>
      <c r="C807" s="34"/>
      <c r="D807" s="34"/>
      <c r="E807" s="34"/>
      <c r="F807" s="34"/>
      <c r="G807" s="35"/>
      <c r="H807" s="34"/>
      <c r="I807" s="5" t="str">
        <f t="shared" si="60"/>
        <v/>
      </c>
      <c r="J807" s="12" t="str">
        <f t="shared" si="61"/>
        <v/>
      </c>
      <c r="K807" s="37" t="str">
        <f>IF(A807="","",Inputs!$B$11-B807)</f>
        <v/>
      </c>
      <c r="L807" s="5" t="str">
        <f>IF(A807="","",IF(I807&lt;=0,"Sold out",IF(K807&gt;=Inputs!$B$18,"Dead",IF(K807&gt;=Inputs!$B$17,"Ageing",IF(K807&gt;=Inputs!$B$16,"Watch","Fresh")))))</f>
        <v/>
      </c>
      <c r="M807" s="5" t="str">
        <f t="shared" si="62"/>
        <v/>
      </c>
      <c r="N807" s="12" t="str">
        <f t="shared" si="63"/>
        <v/>
      </c>
      <c r="O807" s="36" t="str">
        <f t="shared" si="64"/>
        <v/>
      </c>
    </row>
    <row r="808" spans="1:15" x14ac:dyDescent="0.25">
      <c r="A808" s="34"/>
      <c r="B808" s="33"/>
      <c r="C808" s="34"/>
      <c r="D808" s="34"/>
      <c r="E808" s="34"/>
      <c r="F808" s="34"/>
      <c r="G808" s="35"/>
      <c r="H808" s="34"/>
      <c r="I808" s="5" t="str">
        <f t="shared" si="60"/>
        <v/>
      </c>
      <c r="J808" s="12" t="str">
        <f t="shared" si="61"/>
        <v/>
      </c>
      <c r="K808" s="37" t="str">
        <f>IF(A808="","",Inputs!$B$11-B808)</f>
        <v/>
      </c>
      <c r="L808" s="5" t="str">
        <f>IF(A808="","",IF(I808&lt;=0,"Sold out",IF(K808&gt;=Inputs!$B$18,"Dead",IF(K808&gt;=Inputs!$B$17,"Ageing",IF(K808&gt;=Inputs!$B$16,"Watch","Fresh")))))</f>
        <v/>
      </c>
      <c r="M808" s="5" t="str">
        <f t="shared" si="62"/>
        <v/>
      </c>
      <c r="N808" s="12" t="str">
        <f t="shared" si="63"/>
        <v/>
      </c>
      <c r="O808" s="36" t="str">
        <f t="shared" si="64"/>
        <v/>
      </c>
    </row>
    <row r="809" spans="1:15" x14ac:dyDescent="0.25">
      <c r="A809" s="34"/>
      <c r="B809" s="33"/>
      <c r="C809" s="34"/>
      <c r="D809" s="34"/>
      <c r="E809" s="34"/>
      <c r="F809" s="34"/>
      <c r="G809" s="35"/>
      <c r="H809" s="34"/>
      <c r="I809" s="5" t="str">
        <f t="shared" si="60"/>
        <v/>
      </c>
      <c r="J809" s="12" t="str">
        <f t="shared" si="61"/>
        <v/>
      </c>
      <c r="K809" s="37" t="str">
        <f>IF(A809="","",Inputs!$B$11-B809)</f>
        <v/>
      </c>
      <c r="L809" s="5" t="str">
        <f>IF(A809="","",IF(I809&lt;=0,"Sold out",IF(K809&gt;=Inputs!$B$18,"Dead",IF(K809&gt;=Inputs!$B$17,"Ageing",IF(K809&gt;=Inputs!$B$16,"Watch","Fresh")))))</f>
        <v/>
      </c>
      <c r="M809" s="5" t="str">
        <f t="shared" si="62"/>
        <v/>
      </c>
      <c r="N809" s="12" t="str">
        <f t="shared" si="63"/>
        <v/>
      </c>
      <c r="O809" s="36" t="str">
        <f t="shared" si="64"/>
        <v/>
      </c>
    </row>
    <row r="810" spans="1:15" x14ac:dyDescent="0.25">
      <c r="A810" s="34"/>
      <c r="B810" s="33"/>
      <c r="C810" s="34"/>
      <c r="D810" s="34"/>
      <c r="E810" s="34"/>
      <c r="F810" s="34"/>
      <c r="G810" s="35"/>
      <c r="H810" s="34"/>
      <c r="I810" s="5" t="str">
        <f t="shared" si="60"/>
        <v/>
      </c>
      <c r="J810" s="12" t="str">
        <f t="shared" si="61"/>
        <v/>
      </c>
      <c r="K810" s="37" t="str">
        <f>IF(A810="","",Inputs!$B$11-B810)</f>
        <v/>
      </c>
      <c r="L810" s="5" t="str">
        <f>IF(A810="","",IF(I810&lt;=0,"Sold out",IF(K810&gt;=Inputs!$B$18,"Dead",IF(K810&gt;=Inputs!$B$17,"Ageing",IF(K810&gt;=Inputs!$B$16,"Watch","Fresh")))))</f>
        <v/>
      </c>
      <c r="M810" s="5" t="str">
        <f t="shared" si="62"/>
        <v/>
      </c>
      <c r="N810" s="12" t="str">
        <f t="shared" si="63"/>
        <v/>
      </c>
      <c r="O810" s="36" t="str">
        <f t="shared" si="64"/>
        <v/>
      </c>
    </row>
    <row r="811" spans="1:15" x14ac:dyDescent="0.25">
      <c r="A811" s="34"/>
      <c r="B811" s="33"/>
      <c r="C811" s="34"/>
      <c r="D811" s="34"/>
      <c r="E811" s="34"/>
      <c r="F811" s="34"/>
      <c r="G811" s="35"/>
      <c r="H811" s="34"/>
      <c r="I811" s="5" t="str">
        <f t="shared" si="60"/>
        <v/>
      </c>
      <c r="J811" s="12" t="str">
        <f t="shared" si="61"/>
        <v/>
      </c>
      <c r="K811" s="37" t="str">
        <f>IF(A811="","",Inputs!$B$11-B811)</f>
        <v/>
      </c>
      <c r="L811" s="5" t="str">
        <f>IF(A811="","",IF(I811&lt;=0,"Sold out",IF(K811&gt;=Inputs!$B$18,"Dead",IF(K811&gt;=Inputs!$B$17,"Ageing",IF(K811&gt;=Inputs!$B$16,"Watch","Fresh")))))</f>
        <v/>
      </c>
      <c r="M811" s="5" t="str">
        <f t="shared" si="62"/>
        <v/>
      </c>
      <c r="N811" s="12" t="str">
        <f t="shared" si="63"/>
        <v/>
      </c>
      <c r="O811" s="36" t="str">
        <f t="shared" si="64"/>
        <v/>
      </c>
    </row>
    <row r="812" spans="1:15" x14ac:dyDescent="0.25">
      <c r="A812" s="34"/>
      <c r="B812" s="33"/>
      <c r="C812" s="34"/>
      <c r="D812" s="34"/>
      <c r="E812" s="34"/>
      <c r="F812" s="34"/>
      <c r="G812" s="35"/>
      <c r="H812" s="34"/>
      <c r="I812" s="5" t="str">
        <f t="shared" si="60"/>
        <v/>
      </c>
      <c r="J812" s="12" t="str">
        <f t="shared" si="61"/>
        <v/>
      </c>
      <c r="K812" s="37" t="str">
        <f>IF(A812="","",Inputs!$B$11-B812)</f>
        <v/>
      </c>
      <c r="L812" s="5" t="str">
        <f>IF(A812="","",IF(I812&lt;=0,"Sold out",IF(K812&gt;=Inputs!$B$18,"Dead",IF(K812&gt;=Inputs!$B$17,"Ageing",IF(K812&gt;=Inputs!$B$16,"Watch","Fresh")))))</f>
        <v/>
      </c>
      <c r="M812" s="5" t="str">
        <f t="shared" si="62"/>
        <v/>
      </c>
      <c r="N812" s="12" t="str">
        <f t="shared" si="63"/>
        <v/>
      </c>
      <c r="O812" s="36" t="str">
        <f t="shared" si="64"/>
        <v/>
      </c>
    </row>
    <row r="813" spans="1:15" x14ac:dyDescent="0.25">
      <c r="A813" s="34"/>
      <c r="B813" s="33"/>
      <c r="C813" s="34"/>
      <c r="D813" s="34"/>
      <c r="E813" s="34"/>
      <c r="F813" s="34"/>
      <c r="G813" s="35"/>
      <c r="H813" s="34"/>
      <c r="I813" s="5" t="str">
        <f t="shared" si="60"/>
        <v/>
      </c>
      <c r="J813" s="12" t="str">
        <f t="shared" si="61"/>
        <v/>
      </c>
      <c r="K813" s="37" t="str">
        <f>IF(A813="","",Inputs!$B$11-B813)</f>
        <v/>
      </c>
      <c r="L813" s="5" t="str">
        <f>IF(A813="","",IF(I813&lt;=0,"Sold out",IF(K813&gt;=Inputs!$B$18,"Dead",IF(K813&gt;=Inputs!$B$17,"Ageing",IF(K813&gt;=Inputs!$B$16,"Watch","Fresh")))))</f>
        <v/>
      </c>
      <c r="M813" s="5" t="str">
        <f t="shared" si="62"/>
        <v/>
      </c>
      <c r="N813" s="12" t="str">
        <f t="shared" si="63"/>
        <v/>
      </c>
      <c r="O813" s="36" t="str">
        <f t="shared" si="64"/>
        <v/>
      </c>
    </row>
    <row r="814" spans="1:15" x14ac:dyDescent="0.25">
      <c r="A814" s="34"/>
      <c r="B814" s="33"/>
      <c r="C814" s="34"/>
      <c r="D814" s="34"/>
      <c r="E814" s="34"/>
      <c r="F814" s="34"/>
      <c r="G814" s="35"/>
      <c r="H814" s="34"/>
      <c r="I814" s="5" t="str">
        <f t="shared" si="60"/>
        <v/>
      </c>
      <c r="J814" s="12" t="str">
        <f t="shared" si="61"/>
        <v/>
      </c>
      <c r="K814" s="37" t="str">
        <f>IF(A814="","",Inputs!$B$11-B814)</f>
        <v/>
      </c>
      <c r="L814" s="5" t="str">
        <f>IF(A814="","",IF(I814&lt;=0,"Sold out",IF(K814&gt;=Inputs!$B$18,"Dead",IF(K814&gt;=Inputs!$B$17,"Ageing",IF(K814&gt;=Inputs!$B$16,"Watch","Fresh")))))</f>
        <v/>
      </c>
      <c r="M814" s="5" t="str">
        <f t="shared" si="62"/>
        <v/>
      </c>
      <c r="N814" s="12" t="str">
        <f t="shared" si="63"/>
        <v/>
      </c>
      <c r="O814" s="36" t="str">
        <f t="shared" si="64"/>
        <v/>
      </c>
    </row>
    <row r="815" spans="1:15" x14ac:dyDescent="0.25">
      <c r="A815" s="34"/>
      <c r="B815" s="33"/>
      <c r="C815" s="34"/>
      <c r="D815" s="34"/>
      <c r="E815" s="34"/>
      <c r="F815" s="34"/>
      <c r="G815" s="35"/>
      <c r="H815" s="34"/>
      <c r="I815" s="5" t="str">
        <f t="shared" si="60"/>
        <v/>
      </c>
      <c r="J815" s="12" t="str">
        <f t="shared" si="61"/>
        <v/>
      </c>
      <c r="K815" s="37" t="str">
        <f>IF(A815="","",Inputs!$B$11-B815)</f>
        <v/>
      </c>
      <c r="L815" s="5" t="str">
        <f>IF(A815="","",IF(I815&lt;=0,"Sold out",IF(K815&gt;=Inputs!$B$18,"Dead",IF(K815&gt;=Inputs!$B$17,"Ageing",IF(K815&gt;=Inputs!$B$16,"Watch","Fresh")))))</f>
        <v/>
      </c>
      <c r="M815" s="5" t="str">
        <f t="shared" si="62"/>
        <v/>
      </c>
      <c r="N815" s="12" t="str">
        <f t="shared" si="63"/>
        <v/>
      </c>
      <c r="O815" s="36" t="str">
        <f t="shared" si="64"/>
        <v/>
      </c>
    </row>
    <row r="816" spans="1:15" x14ac:dyDescent="0.25">
      <c r="A816" s="34"/>
      <c r="B816" s="33"/>
      <c r="C816" s="34"/>
      <c r="D816" s="34"/>
      <c r="E816" s="34"/>
      <c r="F816" s="34"/>
      <c r="G816" s="35"/>
      <c r="H816" s="34"/>
      <c r="I816" s="5" t="str">
        <f t="shared" si="60"/>
        <v/>
      </c>
      <c r="J816" s="12" t="str">
        <f t="shared" si="61"/>
        <v/>
      </c>
      <c r="K816" s="37" t="str">
        <f>IF(A816="","",Inputs!$B$11-B816)</f>
        <v/>
      </c>
      <c r="L816" s="5" t="str">
        <f>IF(A816="","",IF(I816&lt;=0,"Sold out",IF(K816&gt;=Inputs!$B$18,"Dead",IF(K816&gt;=Inputs!$B$17,"Ageing",IF(K816&gt;=Inputs!$B$16,"Watch","Fresh")))))</f>
        <v/>
      </c>
      <c r="M816" s="5" t="str">
        <f t="shared" si="62"/>
        <v/>
      </c>
      <c r="N816" s="12" t="str">
        <f t="shared" si="63"/>
        <v/>
      </c>
      <c r="O816" s="36" t="str">
        <f t="shared" si="64"/>
        <v/>
      </c>
    </row>
    <row r="817" spans="1:15" x14ac:dyDescent="0.25">
      <c r="A817" s="34"/>
      <c r="B817" s="33"/>
      <c r="C817" s="34"/>
      <c r="D817" s="34"/>
      <c r="E817" s="34"/>
      <c r="F817" s="34"/>
      <c r="G817" s="35"/>
      <c r="H817" s="34"/>
      <c r="I817" s="5" t="str">
        <f t="shared" si="60"/>
        <v/>
      </c>
      <c r="J817" s="12" t="str">
        <f t="shared" si="61"/>
        <v/>
      </c>
      <c r="K817" s="37" t="str">
        <f>IF(A817="","",Inputs!$B$11-B817)</f>
        <v/>
      </c>
      <c r="L817" s="5" t="str">
        <f>IF(A817="","",IF(I817&lt;=0,"Sold out",IF(K817&gt;=Inputs!$B$18,"Dead",IF(K817&gt;=Inputs!$B$17,"Ageing",IF(K817&gt;=Inputs!$B$16,"Watch","Fresh")))))</f>
        <v/>
      </c>
      <c r="M817" s="5" t="str">
        <f t="shared" si="62"/>
        <v/>
      </c>
      <c r="N817" s="12" t="str">
        <f t="shared" si="63"/>
        <v/>
      </c>
      <c r="O817" s="36" t="str">
        <f t="shared" si="64"/>
        <v/>
      </c>
    </row>
    <row r="818" spans="1:15" x14ac:dyDescent="0.25">
      <c r="A818" s="34"/>
      <c r="B818" s="33"/>
      <c r="C818" s="34"/>
      <c r="D818" s="34"/>
      <c r="E818" s="34"/>
      <c r="F818" s="34"/>
      <c r="G818" s="35"/>
      <c r="H818" s="34"/>
      <c r="I818" s="5" t="str">
        <f t="shared" si="60"/>
        <v/>
      </c>
      <c r="J818" s="12" t="str">
        <f t="shared" si="61"/>
        <v/>
      </c>
      <c r="K818" s="37" t="str">
        <f>IF(A818="","",Inputs!$B$11-B818)</f>
        <v/>
      </c>
      <c r="L818" s="5" t="str">
        <f>IF(A818="","",IF(I818&lt;=0,"Sold out",IF(K818&gt;=Inputs!$B$18,"Dead",IF(K818&gt;=Inputs!$B$17,"Ageing",IF(K818&gt;=Inputs!$B$16,"Watch","Fresh")))))</f>
        <v/>
      </c>
      <c r="M818" s="5" t="str">
        <f t="shared" si="62"/>
        <v/>
      </c>
      <c r="N818" s="12" t="str">
        <f t="shared" si="63"/>
        <v/>
      </c>
      <c r="O818" s="36" t="str">
        <f t="shared" si="64"/>
        <v/>
      </c>
    </row>
    <row r="819" spans="1:15" x14ac:dyDescent="0.25">
      <c r="A819" s="34"/>
      <c r="B819" s="33"/>
      <c r="C819" s="34"/>
      <c r="D819" s="34"/>
      <c r="E819" s="34"/>
      <c r="F819" s="34"/>
      <c r="G819" s="35"/>
      <c r="H819" s="34"/>
      <c r="I819" s="5" t="str">
        <f t="shared" si="60"/>
        <v/>
      </c>
      <c r="J819" s="12" t="str">
        <f t="shared" si="61"/>
        <v/>
      </c>
      <c r="K819" s="37" t="str">
        <f>IF(A819="","",Inputs!$B$11-B819)</f>
        <v/>
      </c>
      <c r="L819" s="5" t="str">
        <f>IF(A819="","",IF(I819&lt;=0,"Sold out",IF(K819&gt;=Inputs!$B$18,"Dead",IF(K819&gt;=Inputs!$B$17,"Ageing",IF(K819&gt;=Inputs!$B$16,"Watch","Fresh")))))</f>
        <v/>
      </c>
      <c r="M819" s="5" t="str">
        <f t="shared" si="62"/>
        <v/>
      </c>
      <c r="N819" s="12" t="str">
        <f t="shared" si="63"/>
        <v/>
      </c>
      <c r="O819" s="36" t="str">
        <f t="shared" si="64"/>
        <v/>
      </c>
    </row>
    <row r="820" spans="1:15" x14ac:dyDescent="0.25">
      <c r="A820" s="34"/>
      <c r="B820" s="33"/>
      <c r="C820" s="34"/>
      <c r="D820" s="34"/>
      <c r="E820" s="34"/>
      <c r="F820" s="34"/>
      <c r="G820" s="35"/>
      <c r="H820" s="34"/>
      <c r="I820" s="5" t="str">
        <f t="shared" si="60"/>
        <v/>
      </c>
      <c r="J820" s="12" t="str">
        <f t="shared" si="61"/>
        <v/>
      </c>
      <c r="K820" s="37" t="str">
        <f>IF(A820="","",Inputs!$B$11-B820)</f>
        <v/>
      </c>
      <c r="L820" s="5" t="str">
        <f>IF(A820="","",IF(I820&lt;=0,"Sold out",IF(K820&gt;=Inputs!$B$18,"Dead",IF(K820&gt;=Inputs!$B$17,"Ageing",IF(K820&gt;=Inputs!$B$16,"Watch","Fresh")))))</f>
        <v/>
      </c>
      <c r="M820" s="5" t="str">
        <f t="shared" si="62"/>
        <v/>
      </c>
      <c r="N820" s="12" t="str">
        <f t="shared" si="63"/>
        <v/>
      </c>
      <c r="O820" s="36" t="str">
        <f t="shared" si="64"/>
        <v/>
      </c>
    </row>
    <row r="821" spans="1:15" x14ac:dyDescent="0.25">
      <c r="A821" s="34"/>
      <c r="B821" s="33"/>
      <c r="C821" s="34"/>
      <c r="D821" s="34"/>
      <c r="E821" s="34"/>
      <c r="F821" s="34"/>
      <c r="G821" s="35"/>
      <c r="H821" s="34"/>
      <c r="I821" s="5" t="str">
        <f t="shared" si="60"/>
        <v/>
      </c>
      <c r="J821" s="12" t="str">
        <f t="shared" si="61"/>
        <v/>
      </c>
      <c r="K821" s="37" t="str">
        <f>IF(A821="","",Inputs!$B$11-B821)</f>
        <v/>
      </c>
      <c r="L821" s="5" t="str">
        <f>IF(A821="","",IF(I821&lt;=0,"Sold out",IF(K821&gt;=Inputs!$B$18,"Dead",IF(K821&gt;=Inputs!$B$17,"Ageing",IF(K821&gt;=Inputs!$B$16,"Watch","Fresh")))))</f>
        <v/>
      </c>
      <c r="M821" s="5" t="str">
        <f t="shared" si="62"/>
        <v/>
      </c>
      <c r="N821" s="12" t="str">
        <f t="shared" si="63"/>
        <v/>
      </c>
      <c r="O821" s="36" t="str">
        <f t="shared" si="64"/>
        <v/>
      </c>
    </row>
    <row r="822" spans="1:15" x14ac:dyDescent="0.25">
      <c r="A822" s="34"/>
      <c r="B822" s="33"/>
      <c r="C822" s="34"/>
      <c r="D822" s="34"/>
      <c r="E822" s="34"/>
      <c r="F822" s="34"/>
      <c r="G822" s="35"/>
      <c r="H822" s="34"/>
      <c r="I822" s="5" t="str">
        <f t="shared" si="60"/>
        <v/>
      </c>
      <c r="J822" s="12" t="str">
        <f t="shared" si="61"/>
        <v/>
      </c>
      <c r="K822" s="37" t="str">
        <f>IF(A822="","",Inputs!$B$11-B822)</f>
        <v/>
      </c>
      <c r="L822" s="5" t="str">
        <f>IF(A822="","",IF(I822&lt;=0,"Sold out",IF(K822&gt;=Inputs!$B$18,"Dead",IF(K822&gt;=Inputs!$B$17,"Ageing",IF(K822&gt;=Inputs!$B$16,"Watch","Fresh")))))</f>
        <v/>
      </c>
      <c r="M822" s="5" t="str">
        <f t="shared" si="62"/>
        <v/>
      </c>
      <c r="N822" s="12" t="str">
        <f t="shared" si="63"/>
        <v/>
      </c>
      <c r="O822" s="36" t="str">
        <f t="shared" si="64"/>
        <v/>
      </c>
    </row>
    <row r="823" spans="1:15" x14ac:dyDescent="0.25">
      <c r="A823" s="34"/>
      <c r="B823" s="33"/>
      <c r="C823" s="34"/>
      <c r="D823" s="34"/>
      <c r="E823" s="34"/>
      <c r="F823" s="34"/>
      <c r="G823" s="35"/>
      <c r="H823" s="34"/>
      <c r="I823" s="5" t="str">
        <f t="shared" si="60"/>
        <v/>
      </c>
      <c r="J823" s="12" t="str">
        <f t="shared" si="61"/>
        <v/>
      </c>
      <c r="K823" s="37" t="str">
        <f>IF(A823="","",Inputs!$B$11-B823)</f>
        <v/>
      </c>
      <c r="L823" s="5" t="str">
        <f>IF(A823="","",IF(I823&lt;=0,"Sold out",IF(K823&gt;=Inputs!$B$18,"Dead",IF(K823&gt;=Inputs!$B$17,"Ageing",IF(K823&gt;=Inputs!$B$16,"Watch","Fresh")))))</f>
        <v/>
      </c>
      <c r="M823" s="5" t="str">
        <f t="shared" si="62"/>
        <v/>
      </c>
      <c r="N823" s="12" t="str">
        <f t="shared" si="63"/>
        <v/>
      </c>
      <c r="O823" s="36" t="str">
        <f t="shared" si="64"/>
        <v/>
      </c>
    </row>
    <row r="824" spans="1:15" x14ac:dyDescent="0.25">
      <c r="A824" s="34"/>
      <c r="B824" s="33"/>
      <c r="C824" s="34"/>
      <c r="D824" s="34"/>
      <c r="E824" s="34"/>
      <c r="F824" s="34"/>
      <c r="G824" s="35"/>
      <c r="H824" s="34"/>
      <c r="I824" s="5" t="str">
        <f t="shared" si="60"/>
        <v/>
      </c>
      <c r="J824" s="12" t="str">
        <f t="shared" si="61"/>
        <v/>
      </c>
      <c r="K824" s="37" t="str">
        <f>IF(A824="","",Inputs!$B$11-B824)</f>
        <v/>
      </c>
      <c r="L824" s="5" t="str">
        <f>IF(A824="","",IF(I824&lt;=0,"Sold out",IF(K824&gt;=Inputs!$B$18,"Dead",IF(K824&gt;=Inputs!$B$17,"Ageing",IF(K824&gt;=Inputs!$B$16,"Watch","Fresh")))))</f>
        <v/>
      </c>
      <c r="M824" s="5" t="str">
        <f t="shared" si="62"/>
        <v/>
      </c>
      <c r="N824" s="12" t="str">
        <f t="shared" si="63"/>
        <v/>
      </c>
      <c r="O824" s="36" t="str">
        <f t="shared" si="64"/>
        <v/>
      </c>
    </row>
    <row r="825" spans="1:15" x14ac:dyDescent="0.25">
      <c r="A825" s="34"/>
      <c r="B825" s="33"/>
      <c r="C825" s="34"/>
      <c r="D825" s="34"/>
      <c r="E825" s="34"/>
      <c r="F825" s="34"/>
      <c r="G825" s="35"/>
      <c r="H825" s="34"/>
      <c r="I825" s="5" t="str">
        <f t="shared" si="60"/>
        <v/>
      </c>
      <c r="J825" s="12" t="str">
        <f t="shared" si="61"/>
        <v/>
      </c>
      <c r="K825" s="37" t="str">
        <f>IF(A825="","",Inputs!$B$11-B825)</f>
        <v/>
      </c>
      <c r="L825" s="5" t="str">
        <f>IF(A825="","",IF(I825&lt;=0,"Sold out",IF(K825&gt;=Inputs!$B$18,"Dead",IF(K825&gt;=Inputs!$B$17,"Ageing",IF(K825&gt;=Inputs!$B$16,"Watch","Fresh")))))</f>
        <v/>
      </c>
      <c r="M825" s="5" t="str">
        <f t="shared" si="62"/>
        <v/>
      </c>
      <c r="N825" s="12" t="str">
        <f t="shared" si="63"/>
        <v/>
      </c>
      <c r="O825" s="36" t="str">
        <f t="shared" si="64"/>
        <v/>
      </c>
    </row>
    <row r="826" spans="1:15" x14ac:dyDescent="0.25">
      <c r="A826" s="34"/>
      <c r="B826" s="33"/>
      <c r="C826" s="34"/>
      <c r="D826" s="34"/>
      <c r="E826" s="34"/>
      <c r="F826" s="34"/>
      <c r="G826" s="35"/>
      <c r="H826" s="34"/>
      <c r="I826" s="5" t="str">
        <f t="shared" si="60"/>
        <v/>
      </c>
      <c r="J826" s="12" t="str">
        <f t="shared" si="61"/>
        <v/>
      </c>
      <c r="K826" s="37" t="str">
        <f>IF(A826="","",Inputs!$B$11-B826)</f>
        <v/>
      </c>
      <c r="L826" s="5" t="str">
        <f>IF(A826="","",IF(I826&lt;=0,"Sold out",IF(K826&gt;=Inputs!$B$18,"Dead",IF(K826&gt;=Inputs!$B$17,"Ageing",IF(K826&gt;=Inputs!$B$16,"Watch","Fresh")))))</f>
        <v/>
      </c>
      <c r="M826" s="5" t="str">
        <f t="shared" si="62"/>
        <v/>
      </c>
      <c r="N826" s="12" t="str">
        <f t="shared" si="63"/>
        <v/>
      </c>
      <c r="O826" s="36" t="str">
        <f t="shared" si="64"/>
        <v/>
      </c>
    </row>
    <row r="827" spans="1:15" x14ac:dyDescent="0.25">
      <c r="A827" s="34"/>
      <c r="B827" s="33"/>
      <c r="C827" s="34"/>
      <c r="D827" s="34"/>
      <c r="E827" s="34"/>
      <c r="F827" s="34"/>
      <c r="G827" s="35"/>
      <c r="H827" s="34"/>
      <c r="I827" s="5" t="str">
        <f t="shared" si="60"/>
        <v/>
      </c>
      <c r="J827" s="12" t="str">
        <f t="shared" si="61"/>
        <v/>
      </c>
      <c r="K827" s="37" t="str">
        <f>IF(A827="","",Inputs!$B$11-B827)</f>
        <v/>
      </c>
      <c r="L827" s="5" t="str">
        <f>IF(A827="","",IF(I827&lt;=0,"Sold out",IF(K827&gt;=Inputs!$B$18,"Dead",IF(K827&gt;=Inputs!$B$17,"Ageing",IF(K827&gt;=Inputs!$B$16,"Watch","Fresh")))))</f>
        <v/>
      </c>
      <c r="M827" s="5" t="str">
        <f t="shared" si="62"/>
        <v/>
      </c>
      <c r="N827" s="12" t="str">
        <f t="shared" si="63"/>
        <v/>
      </c>
      <c r="O827" s="36" t="str">
        <f t="shared" si="64"/>
        <v/>
      </c>
    </row>
    <row r="828" spans="1:15" x14ac:dyDescent="0.25">
      <c r="A828" s="34"/>
      <c r="B828" s="33"/>
      <c r="C828" s="34"/>
      <c r="D828" s="34"/>
      <c r="E828" s="34"/>
      <c r="F828" s="34"/>
      <c r="G828" s="35"/>
      <c r="H828" s="34"/>
      <c r="I828" s="5" t="str">
        <f t="shared" si="60"/>
        <v/>
      </c>
      <c r="J828" s="12" t="str">
        <f t="shared" si="61"/>
        <v/>
      </c>
      <c r="K828" s="37" t="str">
        <f>IF(A828="","",Inputs!$B$11-B828)</f>
        <v/>
      </c>
      <c r="L828" s="5" t="str">
        <f>IF(A828="","",IF(I828&lt;=0,"Sold out",IF(K828&gt;=Inputs!$B$18,"Dead",IF(K828&gt;=Inputs!$B$17,"Ageing",IF(K828&gt;=Inputs!$B$16,"Watch","Fresh")))))</f>
        <v/>
      </c>
      <c r="M828" s="5" t="str">
        <f t="shared" si="62"/>
        <v/>
      </c>
      <c r="N828" s="12" t="str">
        <f t="shared" si="63"/>
        <v/>
      </c>
      <c r="O828" s="36" t="str">
        <f t="shared" si="64"/>
        <v/>
      </c>
    </row>
    <row r="829" spans="1:15" x14ac:dyDescent="0.25">
      <c r="A829" s="34"/>
      <c r="B829" s="33"/>
      <c r="C829" s="34"/>
      <c r="D829" s="34"/>
      <c r="E829" s="34"/>
      <c r="F829" s="34"/>
      <c r="G829" s="35"/>
      <c r="H829" s="34"/>
      <c r="I829" s="5" t="str">
        <f t="shared" si="60"/>
        <v/>
      </c>
      <c r="J829" s="12" t="str">
        <f t="shared" si="61"/>
        <v/>
      </c>
      <c r="K829" s="37" t="str">
        <f>IF(A829="","",Inputs!$B$11-B829)</f>
        <v/>
      </c>
      <c r="L829" s="5" t="str">
        <f>IF(A829="","",IF(I829&lt;=0,"Sold out",IF(K829&gt;=Inputs!$B$18,"Dead",IF(K829&gt;=Inputs!$B$17,"Ageing",IF(K829&gt;=Inputs!$B$16,"Watch","Fresh")))))</f>
        <v/>
      </c>
      <c r="M829" s="5" t="str">
        <f t="shared" si="62"/>
        <v/>
      </c>
      <c r="N829" s="12" t="str">
        <f t="shared" si="63"/>
        <v/>
      </c>
      <c r="O829" s="36" t="str">
        <f t="shared" si="64"/>
        <v/>
      </c>
    </row>
    <row r="830" spans="1:15" x14ac:dyDescent="0.25">
      <c r="A830" s="34"/>
      <c r="B830" s="33"/>
      <c r="C830" s="34"/>
      <c r="D830" s="34"/>
      <c r="E830" s="34"/>
      <c r="F830" s="34"/>
      <c r="G830" s="35"/>
      <c r="H830" s="34"/>
      <c r="I830" s="5" t="str">
        <f t="shared" si="60"/>
        <v/>
      </c>
      <c r="J830" s="12" t="str">
        <f t="shared" si="61"/>
        <v/>
      </c>
      <c r="K830" s="37" t="str">
        <f>IF(A830="","",Inputs!$B$11-B830)</f>
        <v/>
      </c>
      <c r="L830" s="5" t="str">
        <f>IF(A830="","",IF(I830&lt;=0,"Sold out",IF(K830&gt;=Inputs!$B$18,"Dead",IF(K830&gt;=Inputs!$B$17,"Ageing",IF(K830&gt;=Inputs!$B$16,"Watch","Fresh")))))</f>
        <v/>
      </c>
      <c r="M830" s="5" t="str">
        <f t="shared" si="62"/>
        <v/>
      </c>
      <c r="N830" s="12" t="str">
        <f t="shared" si="63"/>
        <v/>
      </c>
      <c r="O830" s="36" t="str">
        <f t="shared" si="64"/>
        <v/>
      </c>
    </row>
    <row r="831" spans="1:15" x14ac:dyDescent="0.25">
      <c r="A831" s="34"/>
      <c r="B831" s="33"/>
      <c r="C831" s="34"/>
      <c r="D831" s="34"/>
      <c r="E831" s="34"/>
      <c r="F831" s="34"/>
      <c r="G831" s="35"/>
      <c r="H831" s="34"/>
      <c r="I831" s="5" t="str">
        <f t="shared" si="60"/>
        <v/>
      </c>
      <c r="J831" s="12" t="str">
        <f t="shared" si="61"/>
        <v/>
      </c>
      <c r="K831" s="37" t="str">
        <f>IF(A831="","",Inputs!$B$11-B831)</f>
        <v/>
      </c>
      <c r="L831" s="5" t="str">
        <f>IF(A831="","",IF(I831&lt;=0,"Sold out",IF(K831&gt;=Inputs!$B$18,"Dead",IF(K831&gt;=Inputs!$B$17,"Ageing",IF(K831&gt;=Inputs!$B$16,"Watch","Fresh")))))</f>
        <v/>
      </c>
      <c r="M831" s="5" t="str">
        <f t="shared" si="62"/>
        <v/>
      </c>
      <c r="N831" s="12" t="str">
        <f t="shared" si="63"/>
        <v/>
      </c>
      <c r="O831" s="36" t="str">
        <f t="shared" si="64"/>
        <v/>
      </c>
    </row>
    <row r="832" spans="1:15" x14ac:dyDescent="0.25">
      <c r="A832" s="34"/>
      <c r="B832" s="33"/>
      <c r="C832" s="34"/>
      <c r="D832" s="34"/>
      <c r="E832" s="34"/>
      <c r="F832" s="34"/>
      <c r="G832" s="35"/>
      <c r="H832" s="34"/>
      <c r="I832" s="5" t="str">
        <f t="shared" si="60"/>
        <v/>
      </c>
      <c r="J832" s="12" t="str">
        <f t="shared" si="61"/>
        <v/>
      </c>
      <c r="K832" s="37" t="str">
        <f>IF(A832="","",Inputs!$B$11-B832)</f>
        <v/>
      </c>
      <c r="L832" s="5" t="str">
        <f>IF(A832="","",IF(I832&lt;=0,"Sold out",IF(K832&gt;=Inputs!$B$18,"Dead",IF(K832&gt;=Inputs!$B$17,"Ageing",IF(K832&gt;=Inputs!$B$16,"Watch","Fresh")))))</f>
        <v/>
      </c>
      <c r="M832" s="5" t="str">
        <f t="shared" si="62"/>
        <v/>
      </c>
      <c r="N832" s="12" t="str">
        <f t="shared" si="63"/>
        <v/>
      </c>
      <c r="O832" s="36" t="str">
        <f t="shared" si="64"/>
        <v/>
      </c>
    </row>
    <row r="833" spans="1:15" x14ac:dyDescent="0.25">
      <c r="A833" s="34"/>
      <c r="B833" s="33"/>
      <c r="C833" s="34"/>
      <c r="D833" s="34"/>
      <c r="E833" s="34"/>
      <c r="F833" s="34"/>
      <c r="G833" s="35"/>
      <c r="H833" s="34"/>
      <c r="I833" s="5" t="str">
        <f t="shared" si="60"/>
        <v/>
      </c>
      <c r="J833" s="12" t="str">
        <f t="shared" si="61"/>
        <v/>
      </c>
      <c r="K833" s="37" t="str">
        <f>IF(A833="","",Inputs!$B$11-B833)</f>
        <v/>
      </c>
      <c r="L833" s="5" t="str">
        <f>IF(A833="","",IF(I833&lt;=0,"Sold out",IF(K833&gt;=Inputs!$B$18,"Dead",IF(K833&gt;=Inputs!$B$17,"Ageing",IF(K833&gt;=Inputs!$B$16,"Watch","Fresh")))))</f>
        <v/>
      </c>
      <c r="M833" s="5" t="str">
        <f t="shared" si="62"/>
        <v/>
      </c>
      <c r="N833" s="12" t="str">
        <f t="shared" si="63"/>
        <v/>
      </c>
      <c r="O833" s="36" t="str">
        <f t="shared" si="64"/>
        <v/>
      </c>
    </row>
    <row r="834" spans="1:15" x14ac:dyDescent="0.25">
      <c r="A834" s="34"/>
      <c r="B834" s="33"/>
      <c r="C834" s="34"/>
      <c r="D834" s="34"/>
      <c r="E834" s="34"/>
      <c r="F834" s="34"/>
      <c r="G834" s="35"/>
      <c r="H834" s="34"/>
      <c r="I834" s="5" t="str">
        <f t="shared" si="60"/>
        <v/>
      </c>
      <c r="J834" s="12" t="str">
        <f t="shared" si="61"/>
        <v/>
      </c>
      <c r="K834" s="37" t="str">
        <f>IF(A834="","",Inputs!$B$11-B834)</f>
        <v/>
      </c>
      <c r="L834" s="5" t="str">
        <f>IF(A834="","",IF(I834&lt;=0,"Sold out",IF(K834&gt;=Inputs!$B$18,"Dead",IF(K834&gt;=Inputs!$B$17,"Ageing",IF(K834&gt;=Inputs!$B$16,"Watch","Fresh")))))</f>
        <v/>
      </c>
      <c r="M834" s="5" t="str">
        <f t="shared" si="62"/>
        <v/>
      </c>
      <c r="N834" s="12" t="str">
        <f t="shared" si="63"/>
        <v/>
      </c>
      <c r="O834" s="36" t="str">
        <f t="shared" si="64"/>
        <v/>
      </c>
    </row>
    <row r="835" spans="1:15" x14ac:dyDescent="0.25">
      <c r="A835" s="34"/>
      <c r="B835" s="33"/>
      <c r="C835" s="34"/>
      <c r="D835" s="34"/>
      <c r="E835" s="34"/>
      <c r="F835" s="34"/>
      <c r="G835" s="35"/>
      <c r="H835" s="34"/>
      <c r="I835" s="5" t="str">
        <f t="shared" si="60"/>
        <v/>
      </c>
      <c r="J835" s="12" t="str">
        <f t="shared" si="61"/>
        <v/>
      </c>
      <c r="K835" s="37" t="str">
        <f>IF(A835="","",Inputs!$B$11-B835)</f>
        <v/>
      </c>
      <c r="L835" s="5" t="str">
        <f>IF(A835="","",IF(I835&lt;=0,"Sold out",IF(K835&gt;=Inputs!$B$18,"Dead",IF(K835&gt;=Inputs!$B$17,"Ageing",IF(K835&gt;=Inputs!$B$16,"Watch","Fresh")))))</f>
        <v/>
      </c>
      <c r="M835" s="5" t="str">
        <f t="shared" si="62"/>
        <v/>
      </c>
      <c r="N835" s="12" t="str">
        <f t="shared" si="63"/>
        <v/>
      </c>
      <c r="O835" s="36" t="str">
        <f t="shared" si="64"/>
        <v/>
      </c>
    </row>
    <row r="836" spans="1:15" x14ac:dyDescent="0.25">
      <c r="A836" s="34"/>
      <c r="B836" s="33"/>
      <c r="C836" s="34"/>
      <c r="D836" s="34"/>
      <c r="E836" s="34"/>
      <c r="F836" s="34"/>
      <c r="G836" s="35"/>
      <c r="H836" s="34"/>
      <c r="I836" s="5" t="str">
        <f t="shared" si="60"/>
        <v/>
      </c>
      <c r="J836" s="12" t="str">
        <f t="shared" si="61"/>
        <v/>
      </c>
      <c r="K836" s="37" t="str">
        <f>IF(A836="","",Inputs!$B$11-B836)</f>
        <v/>
      </c>
      <c r="L836" s="5" t="str">
        <f>IF(A836="","",IF(I836&lt;=0,"Sold out",IF(K836&gt;=Inputs!$B$18,"Dead",IF(K836&gt;=Inputs!$B$17,"Ageing",IF(K836&gt;=Inputs!$B$16,"Watch","Fresh")))))</f>
        <v/>
      </c>
      <c r="M836" s="5" t="str">
        <f t="shared" si="62"/>
        <v/>
      </c>
      <c r="N836" s="12" t="str">
        <f t="shared" si="63"/>
        <v/>
      </c>
      <c r="O836" s="36" t="str">
        <f t="shared" si="64"/>
        <v/>
      </c>
    </row>
    <row r="837" spans="1:15" x14ac:dyDescent="0.25">
      <c r="A837" s="34"/>
      <c r="B837" s="33"/>
      <c r="C837" s="34"/>
      <c r="D837" s="34"/>
      <c r="E837" s="34"/>
      <c r="F837" s="34"/>
      <c r="G837" s="35"/>
      <c r="H837" s="34"/>
      <c r="I837" s="5" t="str">
        <f t="shared" si="60"/>
        <v/>
      </c>
      <c r="J837" s="12" t="str">
        <f t="shared" si="61"/>
        <v/>
      </c>
      <c r="K837" s="37" t="str">
        <f>IF(A837="","",Inputs!$B$11-B837)</f>
        <v/>
      </c>
      <c r="L837" s="5" t="str">
        <f>IF(A837="","",IF(I837&lt;=0,"Sold out",IF(K837&gt;=Inputs!$B$18,"Dead",IF(K837&gt;=Inputs!$B$17,"Ageing",IF(K837&gt;=Inputs!$B$16,"Watch","Fresh")))))</f>
        <v/>
      </c>
      <c r="M837" s="5" t="str">
        <f t="shared" si="62"/>
        <v/>
      </c>
      <c r="N837" s="12" t="str">
        <f t="shared" si="63"/>
        <v/>
      </c>
      <c r="O837" s="36" t="str">
        <f t="shared" si="64"/>
        <v/>
      </c>
    </row>
    <row r="838" spans="1:15" x14ac:dyDescent="0.25">
      <c r="A838" s="34"/>
      <c r="B838" s="33"/>
      <c r="C838" s="34"/>
      <c r="D838" s="34"/>
      <c r="E838" s="34"/>
      <c r="F838" s="34"/>
      <c r="G838" s="35"/>
      <c r="H838" s="34"/>
      <c r="I838" s="5" t="str">
        <f t="shared" ref="I838:I901" si="65">IF(A838="","",F838-H838)</f>
        <v/>
      </c>
      <c r="J838" s="12" t="str">
        <f t="shared" ref="J838:J901" si="66">IF(A838="","",I838*G838)</f>
        <v/>
      </c>
      <c r="K838" s="37" t="str">
        <f>IF(A838="","",Inputs!$B$11-B838)</f>
        <v/>
      </c>
      <c r="L838" s="5" t="str">
        <f>IF(A838="","",IF(I838&lt;=0,"Sold out",IF(K838&gt;=Inputs!$B$18,"Dead",IF(K838&gt;=Inputs!$B$17,"Ageing",IF(K838&gt;=Inputs!$B$16,"Watch","Fresh")))))</f>
        <v/>
      </c>
      <c r="M838" s="5" t="str">
        <f t="shared" ref="M838:M901" si="67">IF(L838="","",IF(L838="Dead","Clearance / exchange with vendor",IF(L838="Ageing","Markdown 20-30%",IF(L838="Watch","Push in reels &amp; WhatsApp broadcast",IF(L838="Fresh","OK","-")))))</f>
        <v/>
      </c>
      <c r="N838" s="12" t="str">
        <f t="shared" ref="N838:N901" si="68">IF(A838="","",F838*G838)</f>
        <v/>
      </c>
      <c r="O838" s="36" t="str">
        <f t="shared" ref="O838:O901" si="69">IF(B838="","",DATE(YEAR(B838),MONTH(B838),1))</f>
        <v/>
      </c>
    </row>
    <row r="839" spans="1:15" x14ac:dyDescent="0.25">
      <c r="A839" s="34"/>
      <c r="B839" s="33"/>
      <c r="C839" s="34"/>
      <c r="D839" s="34"/>
      <c r="E839" s="34"/>
      <c r="F839" s="34"/>
      <c r="G839" s="35"/>
      <c r="H839" s="34"/>
      <c r="I839" s="5" t="str">
        <f t="shared" si="65"/>
        <v/>
      </c>
      <c r="J839" s="12" t="str">
        <f t="shared" si="66"/>
        <v/>
      </c>
      <c r="K839" s="37" t="str">
        <f>IF(A839="","",Inputs!$B$11-B839)</f>
        <v/>
      </c>
      <c r="L839" s="5" t="str">
        <f>IF(A839="","",IF(I839&lt;=0,"Sold out",IF(K839&gt;=Inputs!$B$18,"Dead",IF(K839&gt;=Inputs!$B$17,"Ageing",IF(K839&gt;=Inputs!$B$16,"Watch","Fresh")))))</f>
        <v/>
      </c>
      <c r="M839" s="5" t="str">
        <f t="shared" si="67"/>
        <v/>
      </c>
      <c r="N839" s="12" t="str">
        <f t="shared" si="68"/>
        <v/>
      </c>
      <c r="O839" s="36" t="str">
        <f t="shared" si="69"/>
        <v/>
      </c>
    </row>
    <row r="840" spans="1:15" x14ac:dyDescent="0.25">
      <c r="A840" s="34"/>
      <c r="B840" s="33"/>
      <c r="C840" s="34"/>
      <c r="D840" s="34"/>
      <c r="E840" s="34"/>
      <c r="F840" s="34"/>
      <c r="G840" s="35"/>
      <c r="H840" s="34"/>
      <c r="I840" s="5" t="str">
        <f t="shared" si="65"/>
        <v/>
      </c>
      <c r="J840" s="12" t="str">
        <f t="shared" si="66"/>
        <v/>
      </c>
      <c r="K840" s="37" t="str">
        <f>IF(A840="","",Inputs!$B$11-B840)</f>
        <v/>
      </c>
      <c r="L840" s="5" t="str">
        <f>IF(A840="","",IF(I840&lt;=0,"Sold out",IF(K840&gt;=Inputs!$B$18,"Dead",IF(K840&gt;=Inputs!$B$17,"Ageing",IF(K840&gt;=Inputs!$B$16,"Watch","Fresh")))))</f>
        <v/>
      </c>
      <c r="M840" s="5" t="str">
        <f t="shared" si="67"/>
        <v/>
      </c>
      <c r="N840" s="12" t="str">
        <f t="shared" si="68"/>
        <v/>
      </c>
      <c r="O840" s="36" t="str">
        <f t="shared" si="69"/>
        <v/>
      </c>
    </row>
    <row r="841" spans="1:15" x14ac:dyDescent="0.25">
      <c r="A841" s="34"/>
      <c r="B841" s="33"/>
      <c r="C841" s="34"/>
      <c r="D841" s="34"/>
      <c r="E841" s="34"/>
      <c r="F841" s="34"/>
      <c r="G841" s="35"/>
      <c r="H841" s="34"/>
      <c r="I841" s="5" t="str">
        <f t="shared" si="65"/>
        <v/>
      </c>
      <c r="J841" s="12" t="str">
        <f t="shared" si="66"/>
        <v/>
      </c>
      <c r="K841" s="37" t="str">
        <f>IF(A841="","",Inputs!$B$11-B841)</f>
        <v/>
      </c>
      <c r="L841" s="5" t="str">
        <f>IF(A841="","",IF(I841&lt;=0,"Sold out",IF(K841&gt;=Inputs!$B$18,"Dead",IF(K841&gt;=Inputs!$B$17,"Ageing",IF(K841&gt;=Inputs!$B$16,"Watch","Fresh")))))</f>
        <v/>
      </c>
      <c r="M841" s="5" t="str">
        <f t="shared" si="67"/>
        <v/>
      </c>
      <c r="N841" s="12" t="str">
        <f t="shared" si="68"/>
        <v/>
      </c>
      <c r="O841" s="36" t="str">
        <f t="shared" si="69"/>
        <v/>
      </c>
    </row>
    <row r="842" spans="1:15" x14ac:dyDescent="0.25">
      <c r="A842" s="34"/>
      <c r="B842" s="33"/>
      <c r="C842" s="34"/>
      <c r="D842" s="34"/>
      <c r="E842" s="34"/>
      <c r="F842" s="34"/>
      <c r="G842" s="35"/>
      <c r="H842" s="34"/>
      <c r="I842" s="5" t="str">
        <f t="shared" si="65"/>
        <v/>
      </c>
      <c r="J842" s="12" t="str">
        <f t="shared" si="66"/>
        <v/>
      </c>
      <c r="K842" s="37" t="str">
        <f>IF(A842="","",Inputs!$B$11-B842)</f>
        <v/>
      </c>
      <c r="L842" s="5" t="str">
        <f>IF(A842="","",IF(I842&lt;=0,"Sold out",IF(K842&gt;=Inputs!$B$18,"Dead",IF(K842&gt;=Inputs!$B$17,"Ageing",IF(K842&gt;=Inputs!$B$16,"Watch","Fresh")))))</f>
        <v/>
      </c>
      <c r="M842" s="5" t="str">
        <f t="shared" si="67"/>
        <v/>
      </c>
      <c r="N842" s="12" t="str">
        <f t="shared" si="68"/>
        <v/>
      </c>
      <c r="O842" s="36" t="str">
        <f t="shared" si="69"/>
        <v/>
      </c>
    </row>
    <row r="843" spans="1:15" x14ac:dyDescent="0.25">
      <c r="A843" s="34"/>
      <c r="B843" s="33"/>
      <c r="C843" s="34"/>
      <c r="D843" s="34"/>
      <c r="E843" s="34"/>
      <c r="F843" s="34"/>
      <c r="G843" s="35"/>
      <c r="H843" s="34"/>
      <c r="I843" s="5" t="str">
        <f t="shared" si="65"/>
        <v/>
      </c>
      <c r="J843" s="12" t="str">
        <f t="shared" si="66"/>
        <v/>
      </c>
      <c r="K843" s="37" t="str">
        <f>IF(A843="","",Inputs!$B$11-B843)</f>
        <v/>
      </c>
      <c r="L843" s="5" t="str">
        <f>IF(A843="","",IF(I843&lt;=0,"Sold out",IF(K843&gt;=Inputs!$B$18,"Dead",IF(K843&gt;=Inputs!$B$17,"Ageing",IF(K843&gt;=Inputs!$B$16,"Watch","Fresh")))))</f>
        <v/>
      </c>
      <c r="M843" s="5" t="str">
        <f t="shared" si="67"/>
        <v/>
      </c>
      <c r="N843" s="12" t="str">
        <f t="shared" si="68"/>
        <v/>
      </c>
      <c r="O843" s="36" t="str">
        <f t="shared" si="69"/>
        <v/>
      </c>
    </row>
    <row r="844" spans="1:15" x14ac:dyDescent="0.25">
      <c r="A844" s="34"/>
      <c r="B844" s="33"/>
      <c r="C844" s="34"/>
      <c r="D844" s="34"/>
      <c r="E844" s="34"/>
      <c r="F844" s="34"/>
      <c r="G844" s="35"/>
      <c r="H844" s="34"/>
      <c r="I844" s="5" t="str">
        <f t="shared" si="65"/>
        <v/>
      </c>
      <c r="J844" s="12" t="str">
        <f t="shared" si="66"/>
        <v/>
      </c>
      <c r="K844" s="37" t="str">
        <f>IF(A844="","",Inputs!$B$11-B844)</f>
        <v/>
      </c>
      <c r="L844" s="5" t="str">
        <f>IF(A844="","",IF(I844&lt;=0,"Sold out",IF(K844&gt;=Inputs!$B$18,"Dead",IF(K844&gt;=Inputs!$B$17,"Ageing",IF(K844&gt;=Inputs!$B$16,"Watch","Fresh")))))</f>
        <v/>
      </c>
      <c r="M844" s="5" t="str">
        <f t="shared" si="67"/>
        <v/>
      </c>
      <c r="N844" s="12" t="str">
        <f t="shared" si="68"/>
        <v/>
      </c>
      <c r="O844" s="36" t="str">
        <f t="shared" si="69"/>
        <v/>
      </c>
    </row>
    <row r="845" spans="1:15" x14ac:dyDescent="0.25">
      <c r="A845" s="34"/>
      <c r="B845" s="33"/>
      <c r="C845" s="34"/>
      <c r="D845" s="34"/>
      <c r="E845" s="34"/>
      <c r="F845" s="34"/>
      <c r="G845" s="35"/>
      <c r="H845" s="34"/>
      <c r="I845" s="5" t="str">
        <f t="shared" si="65"/>
        <v/>
      </c>
      <c r="J845" s="12" t="str">
        <f t="shared" si="66"/>
        <v/>
      </c>
      <c r="K845" s="37" t="str">
        <f>IF(A845="","",Inputs!$B$11-B845)</f>
        <v/>
      </c>
      <c r="L845" s="5" t="str">
        <f>IF(A845="","",IF(I845&lt;=0,"Sold out",IF(K845&gt;=Inputs!$B$18,"Dead",IF(K845&gt;=Inputs!$B$17,"Ageing",IF(K845&gt;=Inputs!$B$16,"Watch","Fresh")))))</f>
        <v/>
      </c>
      <c r="M845" s="5" t="str">
        <f t="shared" si="67"/>
        <v/>
      </c>
      <c r="N845" s="12" t="str">
        <f t="shared" si="68"/>
        <v/>
      </c>
      <c r="O845" s="36" t="str">
        <f t="shared" si="69"/>
        <v/>
      </c>
    </row>
    <row r="846" spans="1:15" x14ac:dyDescent="0.25">
      <c r="A846" s="34"/>
      <c r="B846" s="33"/>
      <c r="C846" s="34"/>
      <c r="D846" s="34"/>
      <c r="E846" s="34"/>
      <c r="F846" s="34"/>
      <c r="G846" s="35"/>
      <c r="H846" s="34"/>
      <c r="I846" s="5" t="str">
        <f t="shared" si="65"/>
        <v/>
      </c>
      <c r="J846" s="12" t="str">
        <f t="shared" si="66"/>
        <v/>
      </c>
      <c r="K846" s="37" t="str">
        <f>IF(A846="","",Inputs!$B$11-B846)</f>
        <v/>
      </c>
      <c r="L846" s="5" t="str">
        <f>IF(A846="","",IF(I846&lt;=0,"Sold out",IF(K846&gt;=Inputs!$B$18,"Dead",IF(K846&gt;=Inputs!$B$17,"Ageing",IF(K846&gt;=Inputs!$B$16,"Watch","Fresh")))))</f>
        <v/>
      </c>
      <c r="M846" s="5" t="str">
        <f t="shared" si="67"/>
        <v/>
      </c>
      <c r="N846" s="12" t="str">
        <f t="shared" si="68"/>
        <v/>
      </c>
      <c r="O846" s="36" t="str">
        <f t="shared" si="69"/>
        <v/>
      </c>
    </row>
    <row r="847" spans="1:15" x14ac:dyDescent="0.25">
      <c r="A847" s="34"/>
      <c r="B847" s="33"/>
      <c r="C847" s="34"/>
      <c r="D847" s="34"/>
      <c r="E847" s="34"/>
      <c r="F847" s="34"/>
      <c r="G847" s="35"/>
      <c r="H847" s="34"/>
      <c r="I847" s="5" t="str">
        <f t="shared" si="65"/>
        <v/>
      </c>
      <c r="J847" s="12" t="str">
        <f t="shared" si="66"/>
        <v/>
      </c>
      <c r="K847" s="37" t="str">
        <f>IF(A847="","",Inputs!$B$11-B847)</f>
        <v/>
      </c>
      <c r="L847" s="5" t="str">
        <f>IF(A847="","",IF(I847&lt;=0,"Sold out",IF(K847&gt;=Inputs!$B$18,"Dead",IF(K847&gt;=Inputs!$B$17,"Ageing",IF(K847&gt;=Inputs!$B$16,"Watch","Fresh")))))</f>
        <v/>
      </c>
      <c r="M847" s="5" t="str">
        <f t="shared" si="67"/>
        <v/>
      </c>
      <c r="N847" s="12" t="str">
        <f t="shared" si="68"/>
        <v/>
      </c>
      <c r="O847" s="36" t="str">
        <f t="shared" si="69"/>
        <v/>
      </c>
    </row>
    <row r="848" spans="1:15" x14ac:dyDescent="0.25">
      <c r="A848" s="34"/>
      <c r="B848" s="33"/>
      <c r="C848" s="34"/>
      <c r="D848" s="34"/>
      <c r="E848" s="34"/>
      <c r="F848" s="34"/>
      <c r="G848" s="35"/>
      <c r="H848" s="34"/>
      <c r="I848" s="5" t="str">
        <f t="shared" si="65"/>
        <v/>
      </c>
      <c r="J848" s="12" t="str">
        <f t="shared" si="66"/>
        <v/>
      </c>
      <c r="K848" s="37" t="str">
        <f>IF(A848="","",Inputs!$B$11-B848)</f>
        <v/>
      </c>
      <c r="L848" s="5" t="str">
        <f>IF(A848="","",IF(I848&lt;=0,"Sold out",IF(K848&gt;=Inputs!$B$18,"Dead",IF(K848&gt;=Inputs!$B$17,"Ageing",IF(K848&gt;=Inputs!$B$16,"Watch","Fresh")))))</f>
        <v/>
      </c>
      <c r="M848" s="5" t="str">
        <f t="shared" si="67"/>
        <v/>
      </c>
      <c r="N848" s="12" t="str">
        <f t="shared" si="68"/>
        <v/>
      </c>
      <c r="O848" s="36" t="str">
        <f t="shared" si="69"/>
        <v/>
      </c>
    </row>
    <row r="849" spans="1:15" x14ac:dyDescent="0.25">
      <c r="A849" s="34"/>
      <c r="B849" s="33"/>
      <c r="C849" s="34"/>
      <c r="D849" s="34"/>
      <c r="E849" s="34"/>
      <c r="F849" s="34"/>
      <c r="G849" s="35"/>
      <c r="H849" s="34"/>
      <c r="I849" s="5" t="str">
        <f t="shared" si="65"/>
        <v/>
      </c>
      <c r="J849" s="12" t="str">
        <f t="shared" si="66"/>
        <v/>
      </c>
      <c r="K849" s="37" t="str">
        <f>IF(A849="","",Inputs!$B$11-B849)</f>
        <v/>
      </c>
      <c r="L849" s="5" t="str">
        <f>IF(A849="","",IF(I849&lt;=0,"Sold out",IF(K849&gt;=Inputs!$B$18,"Dead",IF(K849&gt;=Inputs!$B$17,"Ageing",IF(K849&gt;=Inputs!$B$16,"Watch","Fresh")))))</f>
        <v/>
      </c>
      <c r="M849" s="5" t="str">
        <f t="shared" si="67"/>
        <v/>
      </c>
      <c r="N849" s="12" t="str">
        <f t="shared" si="68"/>
        <v/>
      </c>
      <c r="O849" s="36" t="str">
        <f t="shared" si="69"/>
        <v/>
      </c>
    </row>
    <row r="850" spans="1:15" x14ac:dyDescent="0.25">
      <c r="A850" s="34"/>
      <c r="B850" s="33"/>
      <c r="C850" s="34"/>
      <c r="D850" s="34"/>
      <c r="E850" s="34"/>
      <c r="F850" s="34"/>
      <c r="G850" s="35"/>
      <c r="H850" s="34"/>
      <c r="I850" s="5" t="str">
        <f t="shared" si="65"/>
        <v/>
      </c>
      <c r="J850" s="12" t="str">
        <f t="shared" si="66"/>
        <v/>
      </c>
      <c r="K850" s="37" t="str">
        <f>IF(A850="","",Inputs!$B$11-B850)</f>
        <v/>
      </c>
      <c r="L850" s="5" t="str">
        <f>IF(A850="","",IF(I850&lt;=0,"Sold out",IF(K850&gt;=Inputs!$B$18,"Dead",IF(K850&gt;=Inputs!$B$17,"Ageing",IF(K850&gt;=Inputs!$B$16,"Watch","Fresh")))))</f>
        <v/>
      </c>
      <c r="M850" s="5" t="str">
        <f t="shared" si="67"/>
        <v/>
      </c>
      <c r="N850" s="12" t="str">
        <f t="shared" si="68"/>
        <v/>
      </c>
      <c r="O850" s="36" t="str">
        <f t="shared" si="69"/>
        <v/>
      </c>
    </row>
    <row r="851" spans="1:15" x14ac:dyDescent="0.25">
      <c r="A851" s="34"/>
      <c r="B851" s="33"/>
      <c r="C851" s="34"/>
      <c r="D851" s="34"/>
      <c r="E851" s="34"/>
      <c r="F851" s="34"/>
      <c r="G851" s="35"/>
      <c r="H851" s="34"/>
      <c r="I851" s="5" t="str">
        <f t="shared" si="65"/>
        <v/>
      </c>
      <c r="J851" s="12" t="str">
        <f t="shared" si="66"/>
        <v/>
      </c>
      <c r="K851" s="37" t="str">
        <f>IF(A851="","",Inputs!$B$11-B851)</f>
        <v/>
      </c>
      <c r="L851" s="5" t="str">
        <f>IF(A851="","",IF(I851&lt;=0,"Sold out",IF(K851&gt;=Inputs!$B$18,"Dead",IF(K851&gt;=Inputs!$B$17,"Ageing",IF(K851&gt;=Inputs!$B$16,"Watch","Fresh")))))</f>
        <v/>
      </c>
      <c r="M851" s="5" t="str">
        <f t="shared" si="67"/>
        <v/>
      </c>
      <c r="N851" s="12" t="str">
        <f t="shared" si="68"/>
        <v/>
      </c>
      <c r="O851" s="36" t="str">
        <f t="shared" si="69"/>
        <v/>
      </c>
    </row>
    <row r="852" spans="1:15" x14ac:dyDescent="0.25">
      <c r="A852" s="34"/>
      <c r="B852" s="33"/>
      <c r="C852" s="34"/>
      <c r="D852" s="34"/>
      <c r="E852" s="34"/>
      <c r="F852" s="34"/>
      <c r="G852" s="35"/>
      <c r="H852" s="34"/>
      <c r="I852" s="5" t="str">
        <f t="shared" si="65"/>
        <v/>
      </c>
      <c r="J852" s="12" t="str">
        <f t="shared" si="66"/>
        <v/>
      </c>
      <c r="K852" s="37" t="str">
        <f>IF(A852="","",Inputs!$B$11-B852)</f>
        <v/>
      </c>
      <c r="L852" s="5" t="str">
        <f>IF(A852="","",IF(I852&lt;=0,"Sold out",IF(K852&gt;=Inputs!$B$18,"Dead",IF(K852&gt;=Inputs!$B$17,"Ageing",IF(K852&gt;=Inputs!$B$16,"Watch","Fresh")))))</f>
        <v/>
      </c>
      <c r="M852" s="5" t="str">
        <f t="shared" si="67"/>
        <v/>
      </c>
      <c r="N852" s="12" t="str">
        <f t="shared" si="68"/>
        <v/>
      </c>
      <c r="O852" s="36" t="str">
        <f t="shared" si="69"/>
        <v/>
      </c>
    </row>
    <row r="853" spans="1:15" x14ac:dyDescent="0.25">
      <c r="A853" s="34"/>
      <c r="B853" s="33"/>
      <c r="C853" s="34"/>
      <c r="D853" s="34"/>
      <c r="E853" s="34"/>
      <c r="F853" s="34"/>
      <c r="G853" s="35"/>
      <c r="H853" s="34"/>
      <c r="I853" s="5" t="str">
        <f t="shared" si="65"/>
        <v/>
      </c>
      <c r="J853" s="12" t="str">
        <f t="shared" si="66"/>
        <v/>
      </c>
      <c r="K853" s="37" t="str">
        <f>IF(A853="","",Inputs!$B$11-B853)</f>
        <v/>
      </c>
      <c r="L853" s="5" t="str">
        <f>IF(A853="","",IF(I853&lt;=0,"Sold out",IF(K853&gt;=Inputs!$B$18,"Dead",IF(K853&gt;=Inputs!$B$17,"Ageing",IF(K853&gt;=Inputs!$B$16,"Watch","Fresh")))))</f>
        <v/>
      </c>
      <c r="M853" s="5" t="str">
        <f t="shared" si="67"/>
        <v/>
      </c>
      <c r="N853" s="12" t="str">
        <f t="shared" si="68"/>
        <v/>
      </c>
      <c r="O853" s="36" t="str">
        <f t="shared" si="69"/>
        <v/>
      </c>
    </row>
    <row r="854" spans="1:15" x14ac:dyDescent="0.25">
      <c r="A854" s="34"/>
      <c r="B854" s="33"/>
      <c r="C854" s="34"/>
      <c r="D854" s="34"/>
      <c r="E854" s="34"/>
      <c r="F854" s="34"/>
      <c r="G854" s="35"/>
      <c r="H854" s="34"/>
      <c r="I854" s="5" t="str">
        <f t="shared" si="65"/>
        <v/>
      </c>
      <c r="J854" s="12" t="str">
        <f t="shared" si="66"/>
        <v/>
      </c>
      <c r="K854" s="37" t="str">
        <f>IF(A854="","",Inputs!$B$11-B854)</f>
        <v/>
      </c>
      <c r="L854" s="5" t="str">
        <f>IF(A854="","",IF(I854&lt;=0,"Sold out",IF(K854&gt;=Inputs!$B$18,"Dead",IF(K854&gt;=Inputs!$B$17,"Ageing",IF(K854&gt;=Inputs!$B$16,"Watch","Fresh")))))</f>
        <v/>
      </c>
      <c r="M854" s="5" t="str">
        <f t="shared" si="67"/>
        <v/>
      </c>
      <c r="N854" s="12" t="str">
        <f t="shared" si="68"/>
        <v/>
      </c>
      <c r="O854" s="36" t="str">
        <f t="shared" si="69"/>
        <v/>
      </c>
    </row>
    <row r="855" spans="1:15" x14ac:dyDescent="0.25">
      <c r="A855" s="34"/>
      <c r="B855" s="33"/>
      <c r="C855" s="34"/>
      <c r="D855" s="34"/>
      <c r="E855" s="34"/>
      <c r="F855" s="34"/>
      <c r="G855" s="35"/>
      <c r="H855" s="34"/>
      <c r="I855" s="5" t="str">
        <f t="shared" si="65"/>
        <v/>
      </c>
      <c r="J855" s="12" t="str">
        <f t="shared" si="66"/>
        <v/>
      </c>
      <c r="K855" s="37" t="str">
        <f>IF(A855="","",Inputs!$B$11-B855)</f>
        <v/>
      </c>
      <c r="L855" s="5" t="str">
        <f>IF(A855="","",IF(I855&lt;=0,"Sold out",IF(K855&gt;=Inputs!$B$18,"Dead",IF(K855&gt;=Inputs!$B$17,"Ageing",IF(K855&gt;=Inputs!$B$16,"Watch","Fresh")))))</f>
        <v/>
      </c>
      <c r="M855" s="5" t="str">
        <f t="shared" si="67"/>
        <v/>
      </c>
      <c r="N855" s="12" t="str">
        <f t="shared" si="68"/>
        <v/>
      </c>
      <c r="O855" s="36" t="str">
        <f t="shared" si="69"/>
        <v/>
      </c>
    </row>
    <row r="856" spans="1:15" x14ac:dyDescent="0.25">
      <c r="A856" s="34"/>
      <c r="B856" s="33"/>
      <c r="C856" s="34"/>
      <c r="D856" s="34"/>
      <c r="E856" s="34"/>
      <c r="F856" s="34"/>
      <c r="G856" s="35"/>
      <c r="H856" s="34"/>
      <c r="I856" s="5" t="str">
        <f t="shared" si="65"/>
        <v/>
      </c>
      <c r="J856" s="12" t="str">
        <f t="shared" si="66"/>
        <v/>
      </c>
      <c r="K856" s="37" t="str">
        <f>IF(A856="","",Inputs!$B$11-B856)</f>
        <v/>
      </c>
      <c r="L856" s="5" t="str">
        <f>IF(A856="","",IF(I856&lt;=0,"Sold out",IF(K856&gt;=Inputs!$B$18,"Dead",IF(K856&gt;=Inputs!$B$17,"Ageing",IF(K856&gt;=Inputs!$B$16,"Watch","Fresh")))))</f>
        <v/>
      </c>
      <c r="M856" s="5" t="str">
        <f t="shared" si="67"/>
        <v/>
      </c>
      <c r="N856" s="12" t="str">
        <f t="shared" si="68"/>
        <v/>
      </c>
      <c r="O856" s="36" t="str">
        <f t="shared" si="69"/>
        <v/>
      </c>
    </row>
    <row r="857" spans="1:15" x14ac:dyDescent="0.25">
      <c r="A857" s="34"/>
      <c r="B857" s="33"/>
      <c r="C857" s="34"/>
      <c r="D857" s="34"/>
      <c r="E857" s="34"/>
      <c r="F857" s="34"/>
      <c r="G857" s="35"/>
      <c r="H857" s="34"/>
      <c r="I857" s="5" t="str">
        <f t="shared" si="65"/>
        <v/>
      </c>
      <c r="J857" s="12" t="str">
        <f t="shared" si="66"/>
        <v/>
      </c>
      <c r="K857" s="37" t="str">
        <f>IF(A857="","",Inputs!$B$11-B857)</f>
        <v/>
      </c>
      <c r="L857" s="5" t="str">
        <f>IF(A857="","",IF(I857&lt;=0,"Sold out",IF(K857&gt;=Inputs!$B$18,"Dead",IF(K857&gt;=Inputs!$B$17,"Ageing",IF(K857&gt;=Inputs!$B$16,"Watch","Fresh")))))</f>
        <v/>
      </c>
      <c r="M857" s="5" t="str">
        <f t="shared" si="67"/>
        <v/>
      </c>
      <c r="N857" s="12" t="str">
        <f t="shared" si="68"/>
        <v/>
      </c>
      <c r="O857" s="36" t="str">
        <f t="shared" si="69"/>
        <v/>
      </c>
    </row>
    <row r="858" spans="1:15" x14ac:dyDescent="0.25">
      <c r="A858" s="34"/>
      <c r="B858" s="33"/>
      <c r="C858" s="34"/>
      <c r="D858" s="34"/>
      <c r="E858" s="34"/>
      <c r="F858" s="34"/>
      <c r="G858" s="35"/>
      <c r="H858" s="34"/>
      <c r="I858" s="5" t="str">
        <f t="shared" si="65"/>
        <v/>
      </c>
      <c r="J858" s="12" t="str">
        <f t="shared" si="66"/>
        <v/>
      </c>
      <c r="K858" s="37" t="str">
        <f>IF(A858="","",Inputs!$B$11-B858)</f>
        <v/>
      </c>
      <c r="L858" s="5" t="str">
        <f>IF(A858="","",IF(I858&lt;=0,"Sold out",IF(K858&gt;=Inputs!$B$18,"Dead",IF(K858&gt;=Inputs!$B$17,"Ageing",IF(K858&gt;=Inputs!$B$16,"Watch","Fresh")))))</f>
        <v/>
      </c>
      <c r="M858" s="5" t="str">
        <f t="shared" si="67"/>
        <v/>
      </c>
      <c r="N858" s="12" t="str">
        <f t="shared" si="68"/>
        <v/>
      </c>
      <c r="O858" s="36" t="str">
        <f t="shared" si="69"/>
        <v/>
      </c>
    </row>
    <row r="859" spans="1:15" x14ac:dyDescent="0.25">
      <c r="A859" s="34"/>
      <c r="B859" s="33"/>
      <c r="C859" s="34"/>
      <c r="D859" s="34"/>
      <c r="E859" s="34"/>
      <c r="F859" s="34"/>
      <c r="G859" s="35"/>
      <c r="H859" s="34"/>
      <c r="I859" s="5" t="str">
        <f t="shared" si="65"/>
        <v/>
      </c>
      <c r="J859" s="12" t="str">
        <f t="shared" si="66"/>
        <v/>
      </c>
      <c r="K859" s="37" t="str">
        <f>IF(A859="","",Inputs!$B$11-B859)</f>
        <v/>
      </c>
      <c r="L859" s="5" t="str">
        <f>IF(A859="","",IF(I859&lt;=0,"Sold out",IF(K859&gt;=Inputs!$B$18,"Dead",IF(K859&gt;=Inputs!$B$17,"Ageing",IF(K859&gt;=Inputs!$B$16,"Watch","Fresh")))))</f>
        <v/>
      </c>
      <c r="M859" s="5" t="str">
        <f t="shared" si="67"/>
        <v/>
      </c>
      <c r="N859" s="12" t="str">
        <f t="shared" si="68"/>
        <v/>
      </c>
      <c r="O859" s="36" t="str">
        <f t="shared" si="69"/>
        <v/>
      </c>
    </row>
    <row r="860" spans="1:15" x14ac:dyDescent="0.25">
      <c r="A860" s="34"/>
      <c r="B860" s="33"/>
      <c r="C860" s="34"/>
      <c r="D860" s="34"/>
      <c r="E860" s="34"/>
      <c r="F860" s="34"/>
      <c r="G860" s="35"/>
      <c r="H860" s="34"/>
      <c r="I860" s="5" t="str">
        <f t="shared" si="65"/>
        <v/>
      </c>
      <c r="J860" s="12" t="str">
        <f t="shared" si="66"/>
        <v/>
      </c>
      <c r="K860" s="37" t="str">
        <f>IF(A860="","",Inputs!$B$11-B860)</f>
        <v/>
      </c>
      <c r="L860" s="5" t="str">
        <f>IF(A860="","",IF(I860&lt;=0,"Sold out",IF(K860&gt;=Inputs!$B$18,"Dead",IF(K860&gt;=Inputs!$B$17,"Ageing",IF(K860&gt;=Inputs!$B$16,"Watch","Fresh")))))</f>
        <v/>
      </c>
      <c r="M860" s="5" t="str">
        <f t="shared" si="67"/>
        <v/>
      </c>
      <c r="N860" s="12" t="str">
        <f t="shared" si="68"/>
        <v/>
      </c>
      <c r="O860" s="36" t="str">
        <f t="shared" si="69"/>
        <v/>
      </c>
    </row>
    <row r="861" spans="1:15" x14ac:dyDescent="0.25">
      <c r="A861" s="34"/>
      <c r="B861" s="33"/>
      <c r="C861" s="34"/>
      <c r="D861" s="34"/>
      <c r="E861" s="34"/>
      <c r="F861" s="34"/>
      <c r="G861" s="35"/>
      <c r="H861" s="34"/>
      <c r="I861" s="5" t="str">
        <f t="shared" si="65"/>
        <v/>
      </c>
      <c r="J861" s="12" t="str">
        <f t="shared" si="66"/>
        <v/>
      </c>
      <c r="K861" s="37" t="str">
        <f>IF(A861="","",Inputs!$B$11-B861)</f>
        <v/>
      </c>
      <c r="L861" s="5" t="str">
        <f>IF(A861="","",IF(I861&lt;=0,"Sold out",IF(K861&gt;=Inputs!$B$18,"Dead",IF(K861&gt;=Inputs!$B$17,"Ageing",IF(K861&gt;=Inputs!$B$16,"Watch","Fresh")))))</f>
        <v/>
      </c>
      <c r="M861" s="5" t="str">
        <f t="shared" si="67"/>
        <v/>
      </c>
      <c r="N861" s="12" t="str">
        <f t="shared" si="68"/>
        <v/>
      </c>
      <c r="O861" s="36" t="str">
        <f t="shared" si="69"/>
        <v/>
      </c>
    </row>
    <row r="862" spans="1:15" x14ac:dyDescent="0.25">
      <c r="A862" s="34"/>
      <c r="B862" s="33"/>
      <c r="C862" s="34"/>
      <c r="D862" s="34"/>
      <c r="E862" s="34"/>
      <c r="F862" s="34"/>
      <c r="G862" s="35"/>
      <c r="H862" s="34"/>
      <c r="I862" s="5" t="str">
        <f t="shared" si="65"/>
        <v/>
      </c>
      <c r="J862" s="12" t="str">
        <f t="shared" si="66"/>
        <v/>
      </c>
      <c r="K862" s="37" t="str">
        <f>IF(A862="","",Inputs!$B$11-B862)</f>
        <v/>
      </c>
      <c r="L862" s="5" t="str">
        <f>IF(A862="","",IF(I862&lt;=0,"Sold out",IF(K862&gt;=Inputs!$B$18,"Dead",IF(K862&gt;=Inputs!$B$17,"Ageing",IF(K862&gt;=Inputs!$B$16,"Watch","Fresh")))))</f>
        <v/>
      </c>
      <c r="M862" s="5" t="str">
        <f t="shared" si="67"/>
        <v/>
      </c>
      <c r="N862" s="12" t="str">
        <f t="shared" si="68"/>
        <v/>
      </c>
      <c r="O862" s="36" t="str">
        <f t="shared" si="69"/>
        <v/>
      </c>
    </row>
    <row r="863" spans="1:15" x14ac:dyDescent="0.25">
      <c r="A863" s="34"/>
      <c r="B863" s="33"/>
      <c r="C863" s="34"/>
      <c r="D863" s="34"/>
      <c r="E863" s="34"/>
      <c r="F863" s="34"/>
      <c r="G863" s="35"/>
      <c r="H863" s="34"/>
      <c r="I863" s="5" t="str">
        <f t="shared" si="65"/>
        <v/>
      </c>
      <c r="J863" s="12" t="str">
        <f t="shared" si="66"/>
        <v/>
      </c>
      <c r="K863" s="37" t="str">
        <f>IF(A863="","",Inputs!$B$11-B863)</f>
        <v/>
      </c>
      <c r="L863" s="5" t="str">
        <f>IF(A863="","",IF(I863&lt;=0,"Sold out",IF(K863&gt;=Inputs!$B$18,"Dead",IF(K863&gt;=Inputs!$B$17,"Ageing",IF(K863&gt;=Inputs!$B$16,"Watch","Fresh")))))</f>
        <v/>
      </c>
      <c r="M863" s="5" t="str">
        <f t="shared" si="67"/>
        <v/>
      </c>
      <c r="N863" s="12" t="str">
        <f t="shared" si="68"/>
        <v/>
      </c>
      <c r="O863" s="36" t="str">
        <f t="shared" si="69"/>
        <v/>
      </c>
    </row>
    <row r="864" spans="1:15" x14ac:dyDescent="0.25">
      <c r="A864" s="34"/>
      <c r="B864" s="33"/>
      <c r="C864" s="34"/>
      <c r="D864" s="34"/>
      <c r="E864" s="34"/>
      <c r="F864" s="34"/>
      <c r="G864" s="35"/>
      <c r="H864" s="34"/>
      <c r="I864" s="5" t="str">
        <f t="shared" si="65"/>
        <v/>
      </c>
      <c r="J864" s="12" t="str">
        <f t="shared" si="66"/>
        <v/>
      </c>
      <c r="K864" s="37" t="str">
        <f>IF(A864="","",Inputs!$B$11-B864)</f>
        <v/>
      </c>
      <c r="L864" s="5" t="str">
        <f>IF(A864="","",IF(I864&lt;=0,"Sold out",IF(K864&gt;=Inputs!$B$18,"Dead",IF(K864&gt;=Inputs!$B$17,"Ageing",IF(K864&gt;=Inputs!$B$16,"Watch","Fresh")))))</f>
        <v/>
      </c>
      <c r="M864" s="5" t="str">
        <f t="shared" si="67"/>
        <v/>
      </c>
      <c r="N864" s="12" t="str">
        <f t="shared" si="68"/>
        <v/>
      </c>
      <c r="O864" s="36" t="str">
        <f t="shared" si="69"/>
        <v/>
      </c>
    </row>
    <row r="865" spans="1:15" x14ac:dyDescent="0.25">
      <c r="A865" s="34"/>
      <c r="B865" s="33"/>
      <c r="C865" s="34"/>
      <c r="D865" s="34"/>
      <c r="E865" s="34"/>
      <c r="F865" s="34"/>
      <c r="G865" s="35"/>
      <c r="H865" s="34"/>
      <c r="I865" s="5" t="str">
        <f t="shared" si="65"/>
        <v/>
      </c>
      <c r="J865" s="12" t="str">
        <f t="shared" si="66"/>
        <v/>
      </c>
      <c r="K865" s="37" t="str">
        <f>IF(A865="","",Inputs!$B$11-B865)</f>
        <v/>
      </c>
      <c r="L865" s="5" t="str">
        <f>IF(A865="","",IF(I865&lt;=0,"Sold out",IF(K865&gt;=Inputs!$B$18,"Dead",IF(K865&gt;=Inputs!$B$17,"Ageing",IF(K865&gt;=Inputs!$B$16,"Watch","Fresh")))))</f>
        <v/>
      </c>
      <c r="M865" s="5" t="str">
        <f t="shared" si="67"/>
        <v/>
      </c>
      <c r="N865" s="12" t="str">
        <f t="shared" si="68"/>
        <v/>
      </c>
      <c r="O865" s="36" t="str">
        <f t="shared" si="69"/>
        <v/>
      </c>
    </row>
    <row r="866" spans="1:15" x14ac:dyDescent="0.25">
      <c r="A866" s="34"/>
      <c r="B866" s="33"/>
      <c r="C866" s="34"/>
      <c r="D866" s="34"/>
      <c r="E866" s="34"/>
      <c r="F866" s="34"/>
      <c r="G866" s="35"/>
      <c r="H866" s="34"/>
      <c r="I866" s="5" t="str">
        <f t="shared" si="65"/>
        <v/>
      </c>
      <c r="J866" s="12" t="str">
        <f t="shared" si="66"/>
        <v/>
      </c>
      <c r="K866" s="37" t="str">
        <f>IF(A866="","",Inputs!$B$11-B866)</f>
        <v/>
      </c>
      <c r="L866" s="5" t="str">
        <f>IF(A866="","",IF(I866&lt;=0,"Sold out",IF(K866&gt;=Inputs!$B$18,"Dead",IF(K866&gt;=Inputs!$B$17,"Ageing",IF(K866&gt;=Inputs!$B$16,"Watch","Fresh")))))</f>
        <v/>
      </c>
      <c r="M866" s="5" t="str">
        <f t="shared" si="67"/>
        <v/>
      </c>
      <c r="N866" s="12" t="str">
        <f t="shared" si="68"/>
        <v/>
      </c>
      <c r="O866" s="36" t="str">
        <f t="shared" si="69"/>
        <v/>
      </c>
    </row>
    <row r="867" spans="1:15" x14ac:dyDescent="0.25">
      <c r="A867" s="34"/>
      <c r="B867" s="33"/>
      <c r="C867" s="34"/>
      <c r="D867" s="34"/>
      <c r="E867" s="34"/>
      <c r="F867" s="34"/>
      <c r="G867" s="35"/>
      <c r="H867" s="34"/>
      <c r="I867" s="5" t="str">
        <f t="shared" si="65"/>
        <v/>
      </c>
      <c r="J867" s="12" t="str">
        <f t="shared" si="66"/>
        <v/>
      </c>
      <c r="K867" s="37" t="str">
        <f>IF(A867="","",Inputs!$B$11-B867)</f>
        <v/>
      </c>
      <c r="L867" s="5" t="str">
        <f>IF(A867="","",IF(I867&lt;=0,"Sold out",IF(K867&gt;=Inputs!$B$18,"Dead",IF(K867&gt;=Inputs!$B$17,"Ageing",IF(K867&gt;=Inputs!$B$16,"Watch","Fresh")))))</f>
        <v/>
      </c>
      <c r="M867" s="5" t="str">
        <f t="shared" si="67"/>
        <v/>
      </c>
      <c r="N867" s="12" t="str">
        <f t="shared" si="68"/>
        <v/>
      </c>
      <c r="O867" s="36" t="str">
        <f t="shared" si="69"/>
        <v/>
      </c>
    </row>
    <row r="868" spans="1:15" x14ac:dyDescent="0.25">
      <c r="A868" s="34"/>
      <c r="B868" s="33"/>
      <c r="C868" s="34"/>
      <c r="D868" s="34"/>
      <c r="E868" s="34"/>
      <c r="F868" s="34"/>
      <c r="G868" s="35"/>
      <c r="H868" s="34"/>
      <c r="I868" s="5" t="str">
        <f t="shared" si="65"/>
        <v/>
      </c>
      <c r="J868" s="12" t="str">
        <f t="shared" si="66"/>
        <v/>
      </c>
      <c r="K868" s="37" t="str">
        <f>IF(A868="","",Inputs!$B$11-B868)</f>
        <v/>
      </c>
      <c r="L868" s="5" t="str">
        <f>IF(A868="","",IF(I868&lt;=0,"Sold out",IF(K868&gt;=Inputs!$B$18,"Dead",IF(K868&gt;=Inputs!$B$17,"Ageing",IF(K868&gt;=Inputs!$B$16,"Watch","Fresh")))))</f>
        <v/>
      </c>
      <c r="M868" s="5" t="str">
        <f t="shared" si="67"/>
        <v/>
      </c>
      <c r="N868" s="12" t="str">
        <f t="shared" si="68"/>
        <v/>
      </c>
      <c r="O868" s="36" t="str">
        <f t="shared" si="69"/>
        <v/>
      </c>
    </row>
    <row r="869" spans="1:15" x14ac:dyDescent="0.25">
      <c r="A869" s="34"/>
      <c r="B869" s="33"/>
      <c r="C869" s="34"/>
      <c r="D869" s="34"/>
      <c r="E869" s="34"/>
      <c r="F869" s="34"/>
      <c r="G869" s="35"/>
      <c r="H869" s="34"/>
      <c r="I869" s="5" t="str">
        <f t="shared" si="65"/>
        <v/>
      </c>
      <c r="J869" s="12" t="str">
        <f t="shared" si="66"/>
        <v/>
      </c>
      <c r="K869" s="37" t="str">
        <f>IF(A869="","",Inputs!$B$11-B869)</f>
        <v/>
      </c>
      <c r="L869" s="5" t="str">
        <f>IF(A869="","",IF(I869&lt;=0,"Sold out",IF(K869&gt;=Inputs!$B$18,"Dead",IF(K869&gt;=Inputs!$B$17,"Ageing",IF(K869&gt;=Inputs!$B$16,"Watch","Fresh")))))</f>
        <v/>
      </c>
      <c r="M869" s="5" t="str">
        <f t="shared" si="67"/>
        <v/>
      </c>
      <c r="N869" s="12" t="str">
        <f t="shared" si="68"/>
        <v/>
      </c>
      <c r="O869" s="36" t="str">
        <f t="shared" si="69"/>
        <v/>
      </c>
    </row>
    <row r="870" spans="1:15" x14ac:dyDescent="0.25">
      <c r="A870" s="34"/>
      <c r="B870" s="33"/>
      <c r="C870" s="34"/>
      <c r="D870" s="34"/>
      <c r="E870" s="34"/>
      <c r="F870" s="34"/>
      <c r="G870" s="35"/>
      <c r="H870" s="34"/>
      <c r="I870" s="5" t="str">
        <f t="shared" si="65"/>
        <v/>
      </c>
      <c r="J870" s="12" t="str">
        <f t="shared" si="66"/>
        <v/>
      </c>
      <c r="K870" s="37" t="str">
        <f>IF(A870="","",Inputs!$B$11-B870)</f>
        <v/>
      </c>
      <c r="L870" s="5" t="str">
        <f>IF(A870="","",IF(I870&lt;=0,"Sold out",IF(K870&gt;=Inputs!$B$18,"Dead",IF(K870&gt;=Inputs!$B$17,"Ageing",IF(K870&gt;=Inputs!$B$16,"Watch","Fresh")))))</f>
        <v/>
      </c>
      <c r="M870" s="5" t="str">
        <f t="shared" si="67"/>
        <v/>
      </c>
      <c r="N870" s="12" t="str">
        <f t="shared" si="68"/>
        <v/>
      </c>
      <c r="O870" s="36" t="str">
        <f t="shared" si="69"/>
        <v/>
      </c>
    </row>
    <row r="871" spans="1:15" x14ac:dyDescent="0.25">
      <c r="A871" s="34"/>
      <c r="B871" s="33"/>
      <c r="C871" s="34"/>
      <c r="D871" s="34"/>
      <c r="E871" s="34"/>
      <c r="F871" s="34"/>
      <c r="G871" s="35"/>
      <c r="H871" s="34"/>
      <c r="I871" s="5" t="str">
        <f t="shared" si="65"/>
        <v/>
      </c>
      <c r="J871" s="12" t="str">
        <f t="shared" si="66"/>
        <v/>
      </c>
      <c r="K871" s="37" t="str">
        <f>IF(A871="","",Inputs!$B$11-B871)</f>
        <v/>
      </c>
      <c r="L871" s="5" t="str">
        <f>IF(A871="","",IF(I871&lt;=0,"Sold out",IF(K871&gt;=Inputs!$B$18,"Dead",IF(K871&gt;=Inputs!$B$17,"Ageing",IF(K871&gt;=Inputs!$B$16,"Watch","Fresh")))))</f>
        <v/>
      </c>
      <c r="M871" s="5" t="str">
        <f t="shared" si="67"/>
        <v/>
      </c>
      <c r="N871" s="12" t="str">
        <f t="shared" si="68"/>
        <v/>
      </c>
      <c r="O871" s="36" t="str">
        <f t="shared" si="69"/>
        <v/>
      </c>
    </row>
    <row r="872" spans="1:15" x14ac:dyDescent="0.25">
      <c r="A872" s="34"/>
      <c r="B872" s="33"/>
      <c r="C872" s="34"/>
      <c r="D872" s="34"/>
      <c r="E872" s="34"/>
      <c r="F872" s="34"/>
      <c r="G872" s="35"/>
      <c r="H872" s="34"/>
      <c r="I872" s="5" t="str">
        <f t="shared" si="65"/>
        <v/>
      </c>
      <c r="J872" s="12" t="str">
        <f t="shared" si="66"/>
        <v/>
      </c>
      <c r="K872" s="37" t="str">
        <f>IF(A872="","",Inputs!$B$11-B872)</f>
        <v/>
      </c>
      <c r="L872" s="5" t="str">
        <f>IF(A872="","",IF(I872&lt;=0,"Sold out",IF(K872&gt;=Inputs!$B$18,"Dead",IF(K872&gt;=Inputs!$B$17,"Ageing",IF(K872&gt;=Inputs!$B$16,"Watch","Fresh")))))</f>
        <v/>
      </c>
      <c r="M872" s="5" t="str">
        <f t="shared" si="67"/>
        <v/>
      </c>
      <c r="N872" s="12" t="str">
        <f t="shared" si="68"/>
        <v/>
      </c>
      <c r="O872" s="36" t="str">
        <f t="shared" si="69"/>
        <v/>
      </c>
    </row>
    <row r="873" spans="1:15" x14ac:dyDescent="0.25">
      <c r="A873" s="34"/>
      <c r="B873" s="33"/>
      <c r="C873" s="34"/>
      <c r="D873" s="34"/>
      <c r="E873" s="34"/>
      <c r="F873" s="34"/>
      <c r="G873" s="35"/>
      <c r="H873" s="34"/>
      <c r="I873" s="5" t="str">
        <f t="shared" si="65"/>
        <v/>
      </c>
      <c r="J873" s="12" t="str">
        <f t="shared" si="66"/>
        <v/>
      </c>
      <c r="K873" s="37" t="str">
        <f>IF(A873="","",Inputs!$B$11-B873)</f>
        <v/>
      </c>
      <c r="L873" s="5" t="str">
        <f>IF(A873="","",IF(I873&lt;=0,"Sold out",IF(K873&gt;=Inputs!$B$18,"Dead",IF(K873&gt;=Inputs!$B$17,"Ageing",IF(K873&gt;=Inputs!$B$16,"Watch","Fresh")))))</f>
        <v/>
      </c>
      <c r="M873" s="5" t="str">
        <f t="shared" si="67"/>
        <v/>
      </c>
      <c r="N873" s="12" t="str">
        <f t="shared" si="68"/>
        <v/>
      </c>
      <c r="O873" s="36" t="str">
        <f t="shared" si="69"/>
        <v/>
      </c>
    </row>
    <row r="874" spans="1:15" x14ac:dyDescent="0.25">
      <c r="A874" s="34"/>
      <c r="B874" s="33"/>
      <c r="C874" s="34"/>
      <c r="D874" s="34"/>
      <c r="E874" s="34"/>
      <c r="F874" s="34"/>
      <c r="G874" s="35"/>
      <c r="H874" s="34"/>
      <c r="I874" s="5" t="str">
        <f t="shared" si="65"/>
        <v/>
      </c>
      <c r="J874" s="12" t="str">
        <f t="shared" si="66"/>
        <v/>
      </c>
      <c r="K874" s="37" t="str">
        <f>IF(A874="","",Inputs!$B$11-B874)</f>
        <v/>
      </c>
      <c r="L874" s="5" t="str">
        <f>IF(A874="","",IF(I874&lt;=0,"Sold out",IF(K874&gt;=Inputs!$B$18,"Dead",IF(K874&gt;=Inputs!$B$17,"Ageing",IF(K874&gt;=Inputs!$B$16,"Watch","Fresh")))))</f>
        <v/>
      </c>
      <c r="M874" s="5" t="str">
        <f t="shared" si="67"/>
        <v/>
      </c>
      <c r="N874" s="12" t="str">
        <f t="shared" si="68"/>
        <v/>
      </c>
      <c r="O874" s="36" t="str">
        <f t="shared" si="69"/>
        <v/>
      </c>
    </row>
    <row r="875" spans="1:15" x14ac:dyDescent="0.25">
      <c r="A875" s="34"/>
      <c r="B875" s="33"/>
      <c r="C875" s="34"/>
      <c r="D875" s="34"/>
      <c r="E875" s="34"/>
      <c r="F875" s="34"/>
      <c r="G875" s="35"/>
      <c r="H875" s="34"/>
      <c r="I875" s="5" t="str">
        <f t="shared" si="65"/>
        <v/>
      </c>
      <c r="J875" s="12" t="str">
        <f t="shared" si="66"/>
        <v/>
      </c>
      <c r="K875" s="37" t="str">
        <f>IF(A875="","",Inputs!$B$11-B875)</f>
        <v/>
      </c>
      <c r="L875" s="5" t="str">
        <f>IF(A875="","",IF(I875&lt;=0,"Sold out",IF(K875&gt;=Inputs!$B$18,"Dead",IF(K875&gt;=Inputs!$B$17,"Ageing",IF(K875&gt;=Inputs!$B$16,"Watch","Fresh")))))</f>
        <v/>
      </c>
      <c r="M875" s="5" t="str">
        <f t="shared" si="67"/>
        <v/>
      </c>
      <c r="N875" s="12" t="str">
        <f t="shared" si="68"/>
        <v/>
      </c>
      <c r="O875" s="36" t="str">
        <f t="shared" si="69"/>
        <v/>
      </c>
    </row>
    <row r="876" spans="1:15" x14ac:dyDescent="0.25">
      <c r="A876" s="34"/>
      <c r="B876" s="33"/>
      <c r="C876" s="34"/>
      <c r="D876" s="34"/>
      <c r="E876" s="34"/>
      <c r="F876" s="34"/>
      <c r="G876" s="35"/>
      <c r="H876" s="34"/>
      <c r="I876" s="5" t="str">
        <f t="shared" si="65"/>
        <v/>
      </c>
      <c r="J876" s="12" t="str">
        <f t="shared" si="66"/>
        <v/>
      </c>
      <c r="K876" s="37" t="str">
        <f>IF(A876="","",Inputs!$B$11-B876)</f>
        <v/>
      </c>
      <c r="L876" s="5" t="str">
        <f>IF(A876="","",IF(I876&lt;=0,"Sold out",IF(K876&gt;=Inputs!$B$18,"Dead",IF(K876&gt;=Inputs!$B$17,"Ageing",IF(K876&gt;=Inputs!$B$16,"Watch","Fresh")))))</f>
        <v/>
      </c>
      <c r="M876" s="5" t="str">
        <f t="shared" si="67"/>
        <v/>
      </c>
      <c r="N876" s="12" t="str">
        <f t="shared" si="68"/>
        <v/>
      </c>
      <c r="O876" s="36" t="str">
        <f t="shared" si="69"/>
        <v/>
      </c>
    </row>
    <row r="877" spans="1:15" x14ac:dyDescent="0.25">
      <c r="A877" s="34"/>
      <c r="B877" s="33"/>
      <c r="C877" s="34"/>
      <c r="D877" s="34"/>
      <c r="E877" s="34"/>
      <c r="F877" s="34"/>
      <c r="G877" s="35"/>
      <c r="H877" s="34"/>
      <c r="I877" s="5" t="str">
        <f t="shared" si="65"/>
        <v/>
      </c>
      <c r="J877" s="12" t="str">
        <f t="shared" si="66"/>
        <v/>
      </c>
      <c r="K877" s="37" t="str">
        <f>IF(A877="","",Inputs!$B$11-B877)</f>
        <v/>
      </c>
      <c r="L877" s="5" t="str">
        <f>IF(A877="","",IF(I877&lt;=0,"Sold out",IF(K877&gt;=Inputs!$B$18,"Dead",IF(K877&gt;=Inputs!$B$17,"Ageing",IF(K877&gt;=Inputs!$B$16,"Watch","Fresh")))))</f>
        <v/>
      </c>
      <c r="M877" s="5" t="str">
        <f t="shared" si="67"/>
        <v/>
      </c>
      <c r="N877" s="12" t="str">
        <f t="shared" si="68"/>
        <v/>
      </c>
      <c r="O877" s="36" t="str">
        <f t="shared" si="69"/>
        <v/>
      </c>
    </row>
    <row r="878" spans="1:15" x14ac:dyDescent="0.25">
      <c r="A878" s="34"/>
      <c r="B878" s="33"/>
      <c r="C878" s="34"/>
      <c r="D878" s="34"/>
      <c r="E878" s="34"/>
      <c r="F878" s="34"/>
      <c r="G878" s="35"/>
      <c r="H878" s="34"/>
      <c r="I878" s="5" t="str">
        <f t="shared" si="65"/>
        <v/>
      </c>
      <c r="J878" s="12" t="str">
        <f t="shared" si="66"/>
        <v/>
      </c>
      <c r="K878" s="37" t="str">
        <f>IF(A878="","",Inputs!$B$11-B878)</f>
        <v/>
      </c>
      <c r="L878" s="5" t="str">
        <f>IF(A878="","",IF(I878&lt;=0,"Sold out",IF(K878&gt;=Inputs!$B$18,"Dead",IF(K878&gt;=Inputs!$B$17,"Ageing",IF(K878&gt;=Inputs!$B$16,"Watch","Fresh")))))</f>
        <v/>
      </c>
      <c r="M878" s="5" t="str">
        <f t="shared" si="67"/>
        <v/>
      </c>
      <c r="N878" s="12" t="str">
        <f t="shared" si="68"/>
        <v/>
      </c>
      <c r="O878" s="36" t="str">
        <f t="shared" si="69"/>
        <v/>
      </c>
    </row>
    <row r="879" spans="1:15" x14ac:dyDescent="0.25">
      <c r="A879" s="34"/>
      <c r="B879" s="33"/>
      <c r="C879" s="34"/>
      <c r="D879" s="34"/>
      <c r="E879" s="34"/>
      <c r="F879" s="34"/>
      <c r="G879" s="35"/>
      <c r="H879" s="34"/>
      <c r="I879" s="5" t="str">
        <f t="shared" si="65"/>
        <v/>
      </c>
      <c r="J879" s="12" t="str">
        <f t="shared" si="66"/>
        <v/>
      </c>
      <c r="K879" s="37" t="str">
        <f>IF(A879="","",Inputs!$B$11-B879)</f>
        <v/>
      </c>
      <c r="L879" s="5" t="str">
        <f>IF(A879="","",IF(I879&lt;=0,"Sold out",IF(K879&gt;=Inputs!$B$18,"Dead",IF(K879&gt;=Inputs!$B$17,"Ageing",IF(K879&gt;=Inputs!$B$16,"Watch","Fresh")))))</f>
        <v/>
      </c>
      <c r="M879" s="5" t="str">
        <f t="shared" si="67"/>
        <v/>
      </c>
      <c r="N879" s="12" t="str">
        <f t="shared" si="68"/>
        <v/>
      </c>
      <c r="O879" s="36" t="str">
        <f t="shared" si="69"/>
        <v/>
      </c>
    </row>
    <row r="880" spans="1:15" x14ac:dyDescent="0.25">
      <c r="A880" s="34"/>
      <c r="B880" s="33"/>
      <c r="C880" s="34"/>
      <c r="D880" s="34"/>
      <c r="E880" s="34"/>
      <c r="F880" s="34"/>
      <c r="G880" s="35"/>
      <c r="H880" s="34"/>
      <c r="I880" s="5" t="str">
        <f t="shared" si="65"/>
        <v/>
      </c>
      <c r="J880" s="12" t="str">
        <f t="shared" si="66"/>
        <v/>
      </c>
      <c r="K880" s="37" t="str">
        <f>IF(A880="","",Inputs!$B$11-B880)</f>
        <v/>
      </c>
      <c r="L880" s="5" t="str">
        <f>IF(A880="","",IF(I880&lt;=0,"Sold out",IF(K880&gt;=Inputs!$B$18,"Dead",IF(K880&gt;=Inputs!$B$17,"Ageing",IF(K880&gt;=Inputs!$B$16,"Watch","Fresh")))))</f>
        <v/>
      </c>
      <c r="M880" s="5" t="str">
        <f t="shared" si="67"/>
        <v/>
      </c>
      <c r="N880" s="12" t="str">
        <f t="shared" si="68"/>
        <v/>
      </c>
      <c r="O880" s="36" t="str">
        <f t="shared" si="69"/>
        <v/>
      </c>
    </row>
    <row r="881" spans="1:15" x14ac:dyDescent="0.25">
      <c r="A881" s="34"/>
      <c r="B881" s="33"/>
      <c r="C881" s="34"/>
      <c r="D881" s="34"/>
      <c r="E881" s="34"/>
      <c r="F881" s="34"/>
      <c r="G881" s="35"/>
      <c r="H881" s="34"/>
      <c r="I881" s="5" t="str">
        <f t="shared" si="65"/>
        <v/>
      </c>
      <c r="J881" s="12" t="str">
        <f t="shared" si="66"/>
        <v/>
      </c>
      <c r="K881" s="37" t="str">
        <f>IF(A881="","",Inputs!$B$11-B881)</f>
        <v/>
      </c>
      <c r="L881" s="5" t="str">
        <f>IF(A881="","",IF(I881&lt;=0,"Sold out",IF(K881&gt;=Inputs!$B$18,"Dead",IF(K881&gt;=Inputs!$B$17,"Ageing",IF(K881&gt;=Inputs!$B$16,"Watch","Fresh")))))</f>
        <v/>
      </c>
      <c r="M881" s="5" t="str">
        <f t="shared" si="67"/>
        <v/>
      </c>
      <c r="N881" s="12" t="str">
        <f t="shared" si="68"/>
        <v/>
      </c>
      <c r="O881" s="36" t="str">
        <f t="shared" si="69"/>
        <v/>
      </c>
    </row>
    <row r="882" spans="1:15" x14ac:dyDescent="0.25">
      <c r="A882" s="34"/>
      <c r="B882" s="33"/>
      <c r="C882" s="34"/>
      <c r="D882" s="34"/>
      <c r="E882" s="34"/>
      <c r="F882" s="34"/>
      <c r="G882" s="35"/>
      <c r="H882" s="34"/>
      <c r="I882" s="5" t="str">
        <f t="shared" si="65"/>
        <v/>
      </c>
      <c r="J882" s="12" t="str">
        <f t="shared" si="66"/>
        <v/>
      </c>
      <c r="K882" s="37" t="str">
        <f>IF(A882="","",Inputs!$B$11-B882)</f>
        <v/>
      </c>
      <c r="L882" s="5" t="str">
        <f>IF(A882="","",IF(I882&lt;=0,"Sold out",IF(K882&gt;=Inputs!$B$18,"Dead",IF(K882&gt;=Inputs!$B$17,"Ageing",IF(K882&gt;=Inputs!$B$16,"Watch","Fresh")))))</f>
        <v/>
      </c>
      <c r="M882" s="5" t="str">
        <f t="shared" si="67"/>
        <v/>
      </c>
      <c r="N882" s="12" t="str">
        <f t="shared" si="68"/>
        <v/>
      </c>
      <c r="O882" s="36" t="str">
        <f t="shared" si="69"/>
        <v/>
      </c>
    </row>
    <row r="883" spans="1:15" x14ac:dyDescent="0.25">
      <c r="A883" s="34"/>
      <c r="B883" s="33"/>
      <c r="C883" s="34"/>
      <c r="D883" s="34"/>
      <c r="E883" s="34"/>
      <c r="F883" s="34"/>
      <c r="G883" s="35"/>
      <c r="H883" s="34"/>
      <c r="I883" s="5" t="str">
        <f t="shared" si="65"/>
        <v/>
      </c>
      <c r="J883" s="12" t="str">
        <f t="shared" si="66"/>
        <v/>
      </c>
      <c r="K883" s="37" t="str">
        <f>IF(A883="","",Inputs!$B$11-B883)</f>
        <v/>
      </c>
      <c r="L883" s="5" t="str">
        <f>IF(A883="","",IF(I883&lt;=0,"Sold out",IF(K883&gt;=Inputs!$B$18,"Dead",IF(K883&gt;=Inputs!$B$17,"Ageing",IF(K883&gt;=Inputs!$B$16,"Watch","Fresh")))))</f>
        <v/>
      </c>
      <c r="M883" s="5" t="str">
        <f t="shared" si="67"/>
        <v/>
      </c>
      <c r="N883" s="12" t="str">
        <f t="shared" si="68"/>
        <v/>
      </c>
      <c r="O883" s="36" t="str">
        <f t="shared" si="69"/>
        <v/>
      </c>
    </row>
    <row r="884" spans="1:15" x14ac:dyDescent="0.25">
      <c r="A884" s="34"/>
      <c r="B884" s="33"/>
      <c r="C884" s="34"/>
      <c r="D884" s="34"/>
      <c r="E884" s="34"/>
      <c r="F884" s="34"/>
      <c r="G884" s="35"/>
      <c r="H884" s="34"/>
      <c r="I884" s="5" t="str">
        <f t="shared" si="65"/>
        <v/>
      </c>
      <c r="J884" s="12" t="str">
        <f t="shared" si="66"/>
        <v/>
      </c>
      <c r="K884" s="37" t="str">
        <f>IF(A884="","",Inputs!$B$11-B884)</f>
        <v/>
      </c>
      <c r="L884" s="5" t="str">
        <f>IF(A884="","",IF(I884&lt;=0,"Sold out",IF(K884&gt;=Inputs!$B$18,"Dead",IF(K884&gt;=Inputs!$B$17,"Ageing",IF(K884&gt;=Inputs!$B$16,"Watch","Fresh")))))</f>
        <v/>
      </c>
      <c r="M884" s="5" t="str">
        <f t="shared" si="67"/>
        <v/>
      </c>
      <c r="N884" s="12" t="str">
        <f t="shared" si="68"/>
        <v/>
      </c>
      <c r="O884" s="36" t="str">
        <f t="shared" si="69"/>
        <v/>
      </c>
    </row>
    <row r="885" spans="1:15" x14ac:dyDescent="0.25">
      <c r="A885" s="34"/>
      <c r="B885" s="33"/>
      <c r="C885" s="34"/>
      <c r="D885" s="34"/>
      <c r="E885" s="34"/>
      <c r="F885" s="34"/>
      <c r="G885" s="35"/>
      <c r="H885" s="34"/>
      <c r="I885" s="5" t="str">
        <f t="shared" si="65"/>
        <v/>
      </c>
      <c r="J885" s="12" t="str">
        <f t="shared" si="66"/>
        <v/>
      </c>
      <c r="K885" s="37" t="str">
        <f>IF(A885="","",Inputs!$B$11-B885)</f>
        <v/>
      </c>
      <c r="L885" s="5" t="str">
        <f>IF(A885="","",IF(I885&lt;=0,"Sold out",IF(K885&gt;=Inputs!$B$18,"Dead",IF(K885&gt;=Inputs!$B$17,"Ageing",IF(K885&gt;=Inputs!$B$16,"Watch","Fresh")))))</f>
        <v/>
      </c>
      <c r="M885" s="5" t="str">
        <f t="shared" si="67"/>
        <v/>
      </c>
      <c r="N885" s="12" t="str">
        <f t="shared" si="68"/>
        <v/>
      </c>
      <c r="O885" s="36" t="str">
        <f t="shared" si="69"/>
        <v/>
      </c>
    </row>
    <row r="886" spans="1:15" x14ac:dyDescent="0.25">
      <c r="A886" s="34"/>
      <c r="B886" s="33"/>
      <c r="C886" s="34"/>
      <c r="D886" s="34"/>
      <c r="E886" s="34"/>
      <c r="F886" s="34"/>
      <c r="G886" s="35"/>
      <c r="H886" s="34"/>
      <c r="I886" s="5" t="str">
        <f t="shared" si="65"/>
        <v/>
      </c>
      <c r="J886" s="12" t="str">
        <f t="shared" si="66"/>
        <v/>
      </c>
      <c r="K886" s="37" t="str">
        <f>IF(A886="","",Inputs!$B$11-B886)</f>
        <v/>
      </c>
      <c r="L886" s="5" t="str">
        <f>IF(A886="","",IF(I886&lt;=0,"Sold out",IF(K886&gt;=Inputs!$B$18,"Dead",IF(K886&gt;=Inputs!$B$17,"Ageing",IF(K886&gt;=Inputs!$B$16,"Watch","Fresh")))))</f>
        <v/>
      </c>
      <c r="M886" s="5" t="str">
        <f t="shared" si="67"/>
        <v/>
      </c>
      <c r="N886" s="12" t="str">
        <f t="shared" si="68"/>
        <v/>
      </c>
      <c r="O886" s="36" t="str">
        <f t="shared" si="69"/>
        <v/>
      </c>
    </row>
    <row r="887" spans="1:15" x14ac:dyDescent="0.25">
      <c r="A887" s="34"/>
      <c r="B887" s="33"/>
      <c r="C887" s="34"/>
      <c r="D887" s="34"/>
      <c r="E887" s="34"/>
      <c r="F887" s="34"/>
      <c r="G887" s="35"/>
      <c r="H887" s="34"/>
      <c r="I887" s="5" t="str">
        <f t="shared" si="65"/>
        <v/>
      </c>
      <c r="J887" s="12" t="str">
        <f t="shared" si="66"/>
        <v/>
      </c>
      <c r="K887" s="37" t="str">
        <f>IF(A887="","",Inputs!$B$11-B887)</f>
        <v/>
      </c>
      <c r="L887" s="5" t="str">
        <f>IF(A887="","",IF(I887&lt;=0,"Sold out",IF(K887&gt;=Inputs!$B$18,"Dead",IF(K887&gt;=Inputs!$B$17,"Ageing",IF(K887&gt;=Inputs!$B$16,"Watch","Fresh")))))</f>
        <v/>
      </c>
      <c r="M887" s="5" t="str">
        <f t="shared" si="67"/>
        <v/>
      </c>
      <c r="N887" s="12" t="str">
        <f t="shared" si="68"/>
        <v/>
      </c>
      <c r="O887" s="36" t="str">
        <f t="shared" si="69"/>
        <v/>
      </c>
    </row>
    <row r="888" spans="1:15" x14ac:dyDescent="0.25">
      <c r="A888" s="34"/>
      <c r="B888" s="33"/>
      <c r="C888" s="34"/>
      <c r="D888" s="34"/>
      <c r="E888" s="34"/>
      <c r="F888" s="34"/>
      <c r="G888" s="35"/>
      <c r="H888" s="34"/>
      <c r="I888" s="5" t="str">
        <f t="shared" si="65"/>
        <v/>
      </c>
      <c r="J888" s="12" t="str">
        <f t="shared" si="66"/>
        <v/>
      </c>
      <c r="K888" s="37" t="str">
        <f>IF(A888="","",Inputs!$B$11-B888)</f>
        <v/>
      </c>
      <c r="L888" s="5" t="str">
        <f>IF(A888="","",IF(I888&lt;=0,"Sold out",IF(K888&gt;=Inputs!$B$18,"Dead",IF(K888&gt;=Inputs!$B$17,"Ageing",IF(K888&gt;=Inputs!$B$16,"Watch","Fresh")))))</f>
        <v/>
      </c>
      <c r="M888" s="5" t="str">
        <f t="shared" si="67"/>
        <v/>
      </c>
      <c r="N888" s="12" t="str">
        <f t="shared" si="68"/>
        <v/>
      </c>
      <c r="O888" s="36" t="str">
        <f t="shared" si="69"/>
        <v/>
      </c>
    </row>
    <row r="889" spans="1:15" x14ac:dyDescent="0.25">
      <c r="A889" s="34"/>
      <c r="B889" s="33"/>
      <c r="C889" s="34"/>
      <c r="D889" s="34"/>
      <c r="E889" s="34"/>
      <c r="F889" s="34"/>
      <c r="G889" s="35"/>
      <c r="H889" s="34"/>
      <c r="I889" s="5" t="str">
        <f t="shared" si="65"/>
        <v/>
      </c>
      <c r="J889" s="12" t="str">
        <f t="shared" si="66"/>
        <v/>
      </c>
      <c r="K889" s="37" t="str">
        <f>IF(A889="","",Inputs!$B$11-B889)</f>
        <v/>
      </c>
      <c r="L889" s="5" t="str">
        <f>IF(A889="","",IF(I889&lt;=0,"Sold out",IF(K889&gt;=Inputs!$B$18,"Dead",IF(K889&gt;=Inputs!$B$17,"Ageing",IF(K889&gt;=Inputs!$B$16,"Watch","Fresh")))))</f>
        <v/>
      </c>
      <c r="M889" s="5" t="str">
        <f t="shared" si="67"/>
        <v/>
      </c>
      <c r="N889" s="12" t="str">
        <f t="shared" si="68"/>
        <v/>
      </c>
      <c r="O889" s="36" t="str">
        <f t="shared" si="69"/>
        <v/>
      </c>
    </row>
    <row r="890" spans="1:15" x14ac:dyDescent="0.25">
      <c r="A890" s="34"/>
      <c r="B890" s="33"/>
      <c r="C890" s="34"/>
      <c r="D890" s="34"/>
      <c r="E890" s="34"/>
      <c r="F890" s="34"/>
      <c r="G890" s="35"/>
      <c r="H890" s="34"/>
      <c r="I890" s="5" t="str">
        <f t="shared" si="65"/>
        <v/>
      </c>
      <c r="J890" s="12" t="str">
        <f t="shared" si="66"/>
        <v/>
      </c>
      <c r="K890" s="37" t="str">
        <f>IF(A890="","",Inputs!$B$11-B890)</f>
        <v/>
      </c>
      <c r="L890" s="5" t="str">
        <f>IF(A890="","",IF(I890&lt;=0,"Sold out",IF(K890&gt;=Inputs!$B$18,"Dead",IF(K890&gt;=Inputs!$B$17,"Ageing",IF(K890&gt;=Inputs!$B$16,"Watch","Fresh")))))</f>
        <v/>
      </c>
      <c r="M890" s="5" t="str">
        <f t="shared" si="67"/>
        <v/>
      </c>
      <c r="N890" s="12" t="str">
        <f t="shared" si="68"/>
        <v/>
      </c>
      <c r="O890" s="36" t="str">
        <f t="shared" si="69"/>
        <v/>
      </c>
    </row>
    <row r="891" spans="1:15" x14ac:dyDescent="0.25">
      <c r="A891" s="34"/>
      <c r="B891" s="33"/>
      <c r="C891" s="34"/>
      <c r="D891" s="34"/>
      <c r="E891" s="34"/>
      <c r="F891" s="34"/>
      <c r="G891" s="35"/>
      <c r="H891" s="34"/>
      <c r="I891" s="5" t="str">
        <f t="shared" si="65"/>
        <v/>
      </c>
      <c r="J891" s="12" t="str">
        <f t="shared" si="66"/>
        <v/>
      </c>
      <c r="K891" s="37" t="str">
        <f>IF(A891="","",Inputs!$B$11-B891)</f>
        <v/>
      </c>
      <c r="L891" s="5" t="str">
        <f>IF(A891="","",IF(I891&lt;=0,"Sold out",IF(K891&gt;=Inputs!$B$18,"Dead",IF(K891&gt;=Inputs!$B$17,"Ageing",IF(K891&gt;=Inputs!$B$16,"Watch","Fresh")))))</f>
        <v/>
      </c>
      <c r="M891" s="5" t="str">
        <f t="shared" si="67"/>
        <v/>
      </c>
      <c r="N891" s="12" t="str">
        <f t="shared" si="68"/>
        <v/>
      </c>
      <c r="O891" s="36" t="str">
        <f t="shared" si="69"/>
        <v/>
      </c>
    </row>
    <row r="892" spans="1:15" x14ac:dyDescent="0.25">
      <c r="A892" s="34"/>
      <c r="B892" s="33"/>
      <c r="C892" s="34"/>
      <c r="D892" s="34"/>
      <c r="E892" s="34"/>
      <c r="F892" s="34"/>
      <c r="G892" s="35"/>
      <c r="H892" s="34"/>
      <c r="I892" s="5" t="str">
        <f t="shared" si="65"/>
        <v/>
      </c>
      <c r="J892" s="12" t="str">
        <f t="shared" si="66"/>
        <v/>
      </c>
      <c r="K892" s="37" t="str">
        <f>IF(A892="","",Inputs!$B$11-B892)</f>
        <v/>
      </c>
      <c r="L892" s="5" t="str">
        <f>IF(A892="","",IF(I892&lt;=0,"Sold out",IF(K892&gt;=Inputs!$B$18,"Dead",IF(K892&gt;=Inputs!$B$17,"Ageing",IF(K892&gt;=Inputs!$B$16,"Watch","Fresh")))))</f>
        <v/>
      </c>
      <c r="M892" s="5" t="str">
        <f t="shared" si="67"/>
        <v/>
      </c>
      <c r="N892" s="12" t="str">
        <f t="shared" si="68"/>
        <v/>
      </c>
      <c r="O892" s="36" t="str">
        <f t="shared" si="69"/>
        <v/>
      </c>
    </row>
    <row r="893" spans="1:15" x14ac:dyDescent="0.25">
      <c r="A893" s="34"/>
      <c r="B893" s="33"/>
      <c r="C893" s="34"/>
      <c r="D893" s="34"/>
      <c r="E893" s="34"/>
      <c r="F893" s="34"/>
      <c r="G893" s="35"/>
      <c r="H893" s="34"/>
      <c r="I893" s="5" t="str">
        <f t="shared" si="65"/>
        <v/>
      </c>
      <c r="J893" s="12" t="str">
        <f t="shared" si="66"/>
        <v/>
      </c>
      <c r="K893" s="37" t="str">
        <f>IF(A893="","",Inputs!$B$11-B893)</f>
        <v/>
      </c>
      <c r="L893" s="5" t="str">
        <f>IF(A893="","",IF(I893&lt;=0,"Sold out",IF(K893&gt;=Inputs!$B$18,"Dead",IF(K893&gt;=Inputs!$B$17,"Ageing",IF(K893&gt;=Inputs!$B$16,"Watch","Fresh")))))</f>
        <v/>
      </c>
      <c r="M893" s="5" t="str">
        <f t="shared" si="67"/>
        <v/>
      </c>
      <c r="N893" s="12" t="str">
        <f t="shared" si="68"/>
        <v/>
      </c>
      <c r="O893" s="36" t="str">
        <f t="shared" si="69"/>
        <v/>
      </c>
    </row>
    <row r="894" spans="1:15" x14ac:dyDescent="0.25">
      <c r="A894" s="34"/>
      <c r="B894" s="33"/>
      <c r="C894" s="34"/>
      <c r="D894" s="34"/>
      <c r="E894" s="34"/>
      <c r="F894" s="34"/>
      <c r="G894" s="35"/>
      <c r="H894" s="34"/>
      <c r="I894" s="5" t="str">
        <f t="shared" si="65"/>
        <v/>
      </c>
      <c r="J894" s="12" t="str">
        <f t="shared" si="66"/>
        <v/>
      </c>
      <c r="K894" s="37" t="str">
        <f>IF(A894="","",Inputs!$B$11-B894)</f>
        <v/>
      </c>
      <c r="L894" s="5" t="str">
        <f>IF(A894="","",IF(I894&lt;=0,"Sold out",IF(K894&gt;=Inputs!$B$18,"Dead",IF(K894&gt;=Inputs!$B$17,"Ageing",IF(K894&gt;=Inputs!$B$16,"Watch","Fresh")))))</f>
        <v/>
      </c>
      <c r="M894" s="5" t="str">
        <f t="shared" si="67"/>
        <v/>
      </c>
      <c r="N894" s="12" t="str">
        <f t="shared" si="68"/>
        <v/>
      </c>
      <c r="O894" s="36" t="str">
        <f t="shared" si="69"/>
        <v/>
      </c>
    </row>
    <row r="895" spans="1:15" x14ac:dyDescent="0.25">
      <c r="A895" s="34"/>
      <c r="B895" s="33"/>
      <c r="C895" s="34"/>
      <c r="D895" s="34"/>
      <c r="E895" s="34"/>
      <c r="F895" s="34"/>
      <c r="G895" s="35"/>
      <c r="H895" s="34"/>
      <c r="I895" s="5" t="str">
        <f t="shared" si="65"/>
        <v/>
      </c>
      <c r="J895" s="12" t="str">
        <f t="shared" si="66"/>
        <v/>
      </c>
      <c r="K895" s="37" t="str">
        <f>IF(A895="","",Inputs!$B$11-B895)</f>
        <v/>
      </c>
      <c r="L895" s="5" t="str">
        <f>IF(A895="","",IF(I895&lt;=0,"Sold out",IF(K895&gt;=Inputs!$B$18,"Dead",IF(K895&gt;=Inputs!$B$17,"Ageing",IF(K895&gt;=Inputs!$B$16,"Watch","Fresh")))))</f>
        <v/>
      </c>
      <c r="M895" s="5" t="str">
        <f t="shared" si="67"/>
        <v/>
      </c>
      <c r="N895" s="12" t="str">
        <f t="shared" si="68"/>
        <v/>
      </c>
      <c r="O895" s="36" t="str">
        <f t="shared" si="69"/>
        <v/>
      </c>
    </row>
    <row r="896" spans="1:15" x14ac:dyDescent="0.25">
      <c r="A896" s="34"/>
      <c r="B896" s="33"/>
      <c r="C896" s="34"/>
      <c r="D896" s="34"/>
      <c r="E896" s="34"/>
      <c r="F896" s="34"/>
      <c r="G896" s="35"/>
      <c r="H896" s="34"/>
      <c r="I896" s="5" t="str">
        <f t="shared" si="65"/>
        <v/>
      </c>
      <c r="J896" s="12" t="str">
        <f t="shared" si="66"/>
        <v/>
      </c>
      <c r="K896" s="37" t="str">
        <f>IF(A896="","",Inputs!$B$11-B896)</f>
        <v/>
      </c>
      <c r="L896" s="5" t="str">
        <f>IF(A896="","",IF(I896&lt;=0,"Sold out",IF(K896&gt;=Inputs!$B$18,"Dead",IF(K896&gt;=Inputs!$B$17,"Ageing",IF(K896&gt;=Inputs!$B$16,"Watch","Fresh")))))</f>
        <v/>
      </c>
      <c r="M896" s="5" t="str">
        <f t="shared" si="67"/>
        <v/>
      </c>
      <c r="N896" s="12" t="str">
        <f t="shared" si="68"/>
        <v/>
      </c>
      <c r="O896" s="36" t="str">
        <f t="shared" si="69"/>
        <v/>
      </c>
    </row>
    <row r="897" spans="1:15" x14ac:dyDescent="0.25">
      <c r="A897" s="34"/>
      <c r="B897" s="33"/>
      <c r="C897" s="34"/>
      <c r="D897" s="34"/>
      <c r="E897" s="34"/>
      <c r="F897" s="34"/>
      <c r="G897" s="35"/>
      <c r="H897" s="34"/>
      <c r="I897" s="5" t="str">
        <f t="shared" si="65"/>
        <v/>
      </c>
      <c r="J897" s="12" t="str">
        <f t="shared" si="66"/>
        <v/>
      </c>
      <c r="K897" s="37" t="str">
        <f>IF(A897="","",Inputs!$B$11-B897)</f>
        <v/>
      </c>
      <c r="L897" s="5" t="str">
        <f>IF(A897="","",IF(I897&lt;=0,"Sold out",IF(K897&gt;=Inputs!$B$18,"Dead",IF(K897&gt;=Inputs!$B$17,"Ageing",IF(K897&gt;=Inputs!$B$16,"Watch","Fresh")))))</f>
        <v/>
      </c>
      <c r="M897" s="5" t="str">
        <f t="shared" si="67"/>
        <v/>
      </c>
      <c r="N897" s="12" t="str">
        <f t="shared" si="68"/>
        <v/>
      </c>
      <c r="O897" s="36" t="str">
        <f t="shared" si="69"/>
        <v/>
      </c>
    </row>
    <row r="898" spans="1:15" x14ac:dyDescent="0.25">
      <c r="A898" s="34"/>
      <c r="B898" s="33"/>
      <c r="C898" s="34"/>
      <c r="D898" s="34"/>
      <c r="E898" s="34"/>
      <c r="F898" s="34"/>
      <c r="G898" s="35"/>
      <c r="H898" s="34"/>
      <c r="I898" s="5" t="str">
        <f t="shared" si="65"/>
        <v/>
      </c>
      <c r="J898" s="12" t="str">
        <f t="shared" si="66"/>
        <v/>
      </c>
      <c r="K898" s="37" t="str">
        <f>IF(A898="","",Inputs!$B$11-B898)</f>
        <v/>
      </c>
      <c r="L898" s="5" t="str">
        <f>IF(A898="","",IF(I898&lt;=0,"Sold out",IF(K898&gt;=Inputs!$B$18,"Dead",IF(K898&gt;=Inputs!$B$17,"Ageing",IF(K898&gt;=Inputs!$B$16,"Watch","Fresh")))))</f>
        <v/>
      </c>
      <c r="M898" s="5" t="str">
        <f t="shared" si="67"/>
        <v/>
      </c>
      <c r="N898" s="12" t="str">
        <f t="shared" si="68"/>
        <v/>
      </c>
      <c r="O898" s="36" t="str">
        <f t="shared" si="69"/>
        <v/>
      </c>
    </row>
    <row r="899" spans="1:15" x14ac:dyDescent="0.25">
      <c r="A899" s="34"/>
      <c r="B899" s="33"/>
      <c r="C899" s="34"/>
      <c r="D899" s="34"/>
      <c r="E899" s="34"/>
      <c r="F899" s="34"/>
      <c r="G899" s="35"/>
      <c r="H899" s="34"/>
      <c r="I899" s="5" t="str">
        <f t="shared" si="65"/>
        <v/>
      </c>
      <c r="J899" s="12" t="str">
        <f t="shared" si="66"/>
        <v/>
      </c>
      <c r="K899" s="37" t="str">
        <f>IF(A899="","",Inputs!$B$11-B899)</f>
        <v/>
      </c>
      <c r="L899" s="5" t="str">
        <f>IF(A899="","",IF(I899&lt;=0,"Sold out",IF(K899&gt;=Inputs!$B$18,"Dead",IF(K899&gt;=Inputs!$B$17,"Ageing",IF(K899&gt;=Inputs!$B$16,"Watch","Fresh")))))</f>
        <v/>
      </c>
      <c r="M899" s="5" t="str">
        <f t="shared" si="67"/>
        <v/>
      </c>
      <c r="N899" s="12" t="str">
        <f t="shared" si="68"/>
        <v/>
      </c>
      <c r="O899" s="36" t="str">
        <f t="shared" si="69"/>
        <v/>
      </c>
    </row>
    <row r="900" spans="1:15" x14ac:dyDescent="0.25">
      <c r="A900" s="34"/>
      <c r="B900" s="33"/>
      <c r="C900" s="34"/>
      <c r="D900" s="34"/>
      <c r="E900" s="34"/>
      <c r="F900" s="34"/>
      <c r="G900" s="35"/>
      <c r="H900" s="34"/>
      <c r="I900" s="5" t="str">
        <f t="shared" si="65"/>
        <v/>
      </c>
      <c r="J900" s="12" t="str">
        <f t="shared" si="66"/>
        <v/>
      </c>
      <c r="K900" s="37" t="str">
        <f>IF(A900="","",Inputs!$B$11-B900)</f>
        <v/>
      </c>
      <c r="L900" s="5" t="str">
        <f>IF(A900="","",IF(I900&lt;=0,"Sold out",IF(K900&gt;=Inputs!$B$18,"Dead",IF(K900&gt;=Inputs!$B$17,"Ageing",IF(K900&gt;=Inputs!$B$16,"Watch","Fresh")))))</f>
        <v/>
      </c>
      <c r="M900" s="5" t="str">
        <f t="shared" si="67"/>
        <v/>
      </c>
      <c r="N900" s="12" t="str">
        <f t="shared" si="68"/>
        <v/>
      </c>
      <c r="O900" s="36" t="str">
        <f t="shared" si="69"/>
        <v/>
      </c>
    </row>
    <row r="901" spans="1:15" x14ac:dyDescent="0.25">
      <c r="A901" s="34"/>
      <c r="B901" s="33"/>
      <c r="C901" s="34"/>
      <c r="D901" s="34"/>
      <c r="E901" s="34"/>
      <c r="F901" s="34"/>
      <c r="G901" s="35"/>
      <c r="H901" s="34"/>
      <c r="I901" s="5" t="str">
        <f t="shared" si="65"/>
        <v/>
      </c>
      <c r="J901" s="12" t="str">
        <f t="shared" si="66"/>
        <v/>
      </c>
      <c r="K901" s="37" t="str">
        <f>IF(A901="","",Inputs!$B$11-B901)</f>
        <v/>
      </c>
      <c r="L901" s="5" t="str">
        <f>IF(A901="","",IF(I901&lt;=0,"Sold out",IF(K901&gt;=Inputs!$B$18,"Dead",IF(K901&gt;=Inputs!$B$17,"Ageing",IF(K901&gt;=Inputs!$B$16,"Watch","Fresh")))))</f>
        <v/>
      </c>
      <c r="M901" s="5" t="str">
        <f t="shared" si="67"/>
        <v/>
      </c>
      <c r="N901" s="12" t="str">
        <f t="shared" si="68"/>
        <v/>
      </c>
      <c r="O901" s="36" t="str">
        <f t="shared" si="69"/>
        <v/>
      </c>
    </row>
    <row r="902" spans="1:15" x14ac:dyDescent="0.25">
      <c r="A902" s="34"/>
      <c r="B902" s="33"/>
      <c r="C902" s="34"/>
      <c r="D902" s="34"/>
      <c r="E902" s="34"/>
      <c r="F902" s="34"/>
      <c r="G902" s="35"/>
      <c r="H902" s="34"/>
      <c r="I902" s="5" t="str">
        <f t="shared" ref="I902:I965" si="70">IF(A902="","",F902-H902)</f>
        <v/>
      </c>
      <c r="J902" s="12" t="str">
        <f t="shared" ref="J902:J965" si="71">IF(A902="","",I902*G902)</f>
        <v/>
      </c>
      <c r="K902" s="37" t="str">
        <f>IF(A902="","",Inputs!$B$11-B902)</f>
        <v/>
      </c>
      <c r="L902" s="5" t="str">
        <f>IF(A902="","",IF(I902&lt;=0,"Sold out",IF(K902&gt;=Inputs!$B$18,"Dead",IF(K902&gt;=Inputs!$B$17,"Ageing",IF(K902&gt;=Inputs!$B$16,"Watch","Fresh")))))</f>
        <v/>
      </c>
      <c r="M902" s="5" t="str">
        <f t="shared" ref="M902:M965" si="72">IF(L902="","",IF(L902="Dead","Clearance / exchange with vendor",IF(L902="Ageing","Markdown 20-30%",IF(L902="Watch","Push in reels &amp; WhatsApp broadcast",IF(L902="Fresh","OK","-")))))</f>
        <v/>
      </c>
      <c r="N902" s="12" t="str">
        <f t="shared" ref="N902:N965" si="73">IF(A902="","",F902*G902)</f>
        <v/>
      </c>
      <c r="O902" s="36" t="str">
        <f t="shared" ref="O902:O965" si="74">IF(B902="","",DATE(YEAR(B902),MONTH(B902),1))</f>
        <v/>
      </c>
    </row>
    <row r="903" spans="1:15" x14ac:dyDescent="0.25">
      <c r="A903" s="34"/>
      <c r="B903" s="33"/>
      <c r="C903" s="34"/>
      <c r="D903" s="34"/>
      <c r="E903" s="34"/>
      <c r="F903" s="34"/>
      <c r="G903" s="35"/>
      <c r="H903" s="34"/>
      <c r="I903" s="5" t="str">
        <f t="shared" si="70"/>
        <v/>
      </c>
      <c r="J903" s="12" t="str">
        <f t="shared" si="71"/>
        <v/>
      </c>
      <c r="K903" s="37" t="str">
        <f>IF(A903="","",Inputs!$B$11-B903)</f>
        <v/>
      </c>
      <c r="L903" s="5" t="str">
        <f>IF(A903="","",IF(I903&lt;=0,"Sold out",IF(K903&gt;=Inputs!$B$18,"Dead",IF(K903&gt;=Inputs!$B$17,"Ageing",IF(K903&gt;=Inputs!$B$16,"Watch","Fresh")))))</f>
        <v/>
      </c>
      <c r="M903" s="5" t="str">
        <f t="shared" si="72"/>
        <v/>
      </c>
      <c r="N903" s="12" t="str">
        <f t="shared" si="73"/>
        <v/>
      </c>
      <c r="O903" s="36" t="str">
        <f t="shared" si="74"/>
        <v/>
      </c>
    </row>
    <row r="904" spans="1:15" x14ac:dyDescent="0.25">
      <c r="A904" s="34"/>
      <c r="B904" s="33"/>
      <c r="C904" s="34"/>
      <c r="D904" s="34"/>
      <c r="E904" s="34"/>
      <c r="F904" s="34"/>
      <c r="G904" s="35"/>
      <c r="H904" s="34"/>
      <c r="I904" s="5" t="str">
        <f t="shared" si="70"/>
        <v/>
      </c>
      <c r="J904" s="12" t="str">
        <f t="shared" si="71"/>
        <v/>
      </c>
      <c r="K904" s="37" t="str">
        <f>IF(A904="","",Inputs!$B$11-B904)</f>
        <v/>
      </c>
      <c r="L904" s="5" t="str">
        <f>IF(A904="","",IF(I904&lt;=0,"Sold out",IF(K904&gt;=Inputs!$B$18,"Dead",IF(K904&gt;=Inputs!$B$17,"Ageing",IF(K904&gt;=Inputs!$B$16,"Watch","Fresh")))))</f>
        <v/>
      </c>
      <c r="M904" s="5" t="str">
        <f t="shared" si="72"/>
        <v/>
      </c>
      <c r="N904" s="12" t="str">
        <f t="shared" si="73"/>
        <v/>
      </c>
      <c r="O904" s="36" t="str">
        <f t="shared" si="74"/>
        <v/>
      </c>
    </row>
    <row r="905" spans="1:15" x14ac:dyDescent="0.25">
      <c r="A905" s="34"/>
      <c r="B905" s="33"/>
      <c r="C905" s="34"/>
      <c r="D905" s="34"/>
      <c r="E905" s="34"/>
      <c r="F905" s="34"/>
      <c r="G905" s="35"/>
      <c r="H905" s="34"/>
      <c r="I905" s="5" t="str">
        <f t="shared" si="70"/>
        <v/>
      </c>
      <c r="J905" s="12" t="str">
        <f t="shared" si="71"/>
        <v/>
      </c>
      <c r="K905" s="37" t="str">
        <f>IF(A905="","",Inputs!$B$11-B905)</f>
        <v/>
      </c>
      <c r="L905" s="5" t="str">
        <f>IF(A905="","",IF(I905&lt;=0,"Sold out",IF(K905&gt;=Inputs!$B$18,"Dead",IF(K905&gt;=Inputs!$B$17,"Ageing",IF(K905&gt;=Inputs!$B$16,"Watch","Fresh")))))</f>
        <v/>
      </c>
      <c r="M905" s="5" t="str">
        <f t="shared" si="72"/>
        <v/>
      </c>
      <c r="N905" s="12" t="str">
        <f t="shared" si="73"/>
        <v/>
      </c>
      <c r="O905" s="36" t="str">
        <f t="shared" si="74"/>
        <v/>
      </c>
    </row>
    <row r="906" spans="1:15" x14ac:dyDescent="0.25">
      <c r="A906" s="34"/>
      <c r="B906" s="33"/>
      <c r="C906" s="34"/>
      <c r="D906" s="34"/>
      <c r="E906" s="34"/>
      <c r="F906" s="34"/>
      <c r="G906" s="35"/>
      <c r="H906" s="34"/>
      <c r="I906" s="5" t="str">
        <f t="shared" si="70"/>
        <v/>
      </c>
      <c r="J906" s="12" t="str">
        <f t="shared" si="71"/>
        <v/>
      </c>
      <c r="K906" s="37" t="str">
        <f>IF(A906="","",Inputs!$B$11-B906)</f>
        <v/>
      </c>
      <c r="L906" s="5" t="str">
        <f>IF(A906="","",IF(I906&lt;=0,"Sold out",IF(K906&gt;=Inputs!$B$18,"Dead",IF(K906&gt;=Inputs!$B$17,"Ageing",IF(K906&gt;=Inputs!$B$16,"Watch","Fresh")))))</f>
        <v/>
      </c>
      <c r="M906" s="5" t="str">
        <f t="shared" si="72"/>
        <v/>
      </c>
      <c r="N906" s="12" t="str">
        <f t="shared" si="73"/>
        <v/>
      </c>
      <c r="O906" s="36" t="str">
        <f t="shared" si="74"/>
        <v/>
      </c>
    </row>
    <row r="907" spans="1:15" x14ac:dyDescent="0.25">
      <c r="A907" s="34"/>
      <c r="B907" s="33"/>
      <c r="C907" s="34"/>
      <c r="D907" s="34"/>
      <c r="E907" s="34"/>
      <c r="F907" s="34"/>
      <c r="G907" s="35"/>
      <c r="H907" s="34"/>
      <c r="I907" s="5" t="str">
        <f t="shared" si="70"/>
        <v/>
      </c>
      <c r="J907" s="12" t="str">
        <f t="shared" si="71"/>
        <v/>
      </c>
      <c r="K907" s="37" t="str">
        <f>IF(A907="","",Inputs!$B$11-B907)</f>
        <v/>
      </c>
      <c r="L907" s="5" t="str">
        <f>IF(A907="","",IF(I907&lt;=0,"Sold out",IF(K907&gt;=Inputs!$B$18,"Dead",IF(K907&gt;=Inputs!$B$17,"Ageing",IF(K907&gt;=Inputs!$B$16,"Watch","Fresh")))))</f>
        <v/>
      </c>
      <c r="M907" s="5" t="str">
        <f t="shared" si="72"/>
        <v/>
      </c>
      <c r="N907" s="12" t="str">
        <f t="shared" si="73"/>
        <v/>
      </c>
      <c r="O907" s="36" t="str">
        <f t="shared" si="74"/>
        <v/>
      </c>
    </row>
    <row r="908" spans="1:15" x14ac:dyDescent="0.25">
      <c r="A908" s="34"/>
      <c r="B908" s="33"/>
      <c r="C908" s="34"/>
      <c r="D908" s="34"/>
      <c r="E908" s="34"/>
      <c r="F908" s="34"/>
      <c r="G908" s="35"/>
      <c r="H908" s="34"/>
      <c r="I908" s="5" t="str">
        <f t="shared" si="70"/>
        <v/>
      </c>
      <c r="J908" s="12" t="str">
        <f t="shared" si="71"/>
        <v/>
      </c>
      <c r="K908" s="37" t="str">
        <f>IF(A908="","",Inputs!$B$11-B908)</f>
        <v/>
      </c>
      <c r="L908" s="5" t="str">
        <f>IF(A908="","",IF(I908&lt;=0,"Sold out",IF(K908&gt;=Inputs!$B$18,"Dead",IF(K908&gt;=Inputs!$B$17,"Ageing",IF(K908&gt;=Inputs!$B$16,"Watch","Fresh")))))</f>
        <v/>
      </c>
      <c r="M908" s="5" t="str">
        <f t="shared" si="72"/>
        <v/>
      </c>
      <c r="N908" s="12" t="str">
        <f t="shared" si="73"/>
        <v/>
      </c>
      <c r="O908" s="36" t="str">
        <f t="shared" si="74"/>
        <v/>
      </c>
    </row>
    <row r="909" spans="1:15" x14ac:dyDescent="0.25">
      <c r="A909" s="34"/>
      <c r="B909" s="33"/>
      <c r="C909" s="34"/>
      <c r="D909" s="34"/>
      <c r="E909" s="34"/>
      <c r="F909" s="34"/>
      <c r="G909" s="35"/>
      <c r="H909" s="34"/>
      <c r="I909" s="5" t="str">
        <f t="shared" si="70"/>
        <v/>
      </c>
      <c r="J909" s="12" t="str">
        <f t="shared" si="71"/>
        <v/>
      </c>
      <c r="K909" s="37" t="str">
        <f>IF(A909="","",Inputs!$B$11-B909)</f>
        <v/>
      </c>
      <c r="L909" s="5" t="str">
        <f>IF(A909="","",IF(I909&lt;=0,"Sold out",IF(K909&gt;=Inputs!$B$18,"Dead",IF(K909&gt;=Inputs!$B$17,"Ageing",IF(K909&gt;=Inputs!$B$16,"Watch","Fresh")))))</f>
        <v/>
      </c>
      <c r="M909" s="5" t="str">
        <f t="shared" si="72"/>
        <v/>
      </c>
      <c r="N909" s="12" t="str">
        <f t="shared" si="73"/>
        <v/>
      </c>
      <c r="O909" s="36" t="str">
        <f t="shared" si="74"/>
        <v/>
      </c>
    </row>
    <row r="910" spans="1:15" x14ac:dyDescent="0.25">
      <c r="A910" s="34"/>
      <c r="B910" s="33"/>
      <c r="C910" s="34"/>
      <c r="D910" s="34"/>
      <c r="E910" s="34"/>
      <c r="F910" s="34"/>
      <c r="G910" s="35"/>
      <c r="H910" s="34"/>
      <c r="I910" s="5" t="str">
        <f t="shared" si="70"/>
        <v/>
      </c>
      <c r="J910" s="12" t="str">
        <f t="shared" si="71"/>
        <v/>
      </c>
      <c r="K910" s="37" t="str">
        <f>IF(A910="","",Inputs!$B$11-B910)</f>
        <v/>
      </c>
      <c r="L910" s="5" t="str">
        <f>IF(A910="","",IF(I910&lt;=0,"Sold out",IF(K910&gt;=Inputs!$B$18,"Dead",IF(K910&gt;=Inputs!$B$17,"Ageing",IF(K910&gt;=Inputs!$B$16,"Watch","Fresh")))))</f>
        <v/>
      </c>
      <c r="M910" s="5" t="str">
        <f t="shared" si="72"/>
        <v/>
      </c>
      <c r="N910" s="12" t="str">
        <f t="shared" si="73"/>
        <v/>
      </c>
      <c r="O910" s="36" t="str">
        <f t="shared" si="74"/>
        <v/>
      </c>
    </row>
    <row r="911" spans="1:15" x14ac:dyDescent="0.25">
      <c r="A911" s="34"/>
      <c r="B911" s="33"/>
      <c r="C911" s="34"/>
      <c r="D911" s="34"/>
      <c r="E911" s="34"/>
      <c r="F911" s="34"/>
      <c r="G911" s="35"/>
      <c r="H911" s="34"/>
      <c r="I911" s="5" t="str">
        <f t="shared" si="70"/>
        <v/>
      </c>
      <c r="J911" s="12" t="str">
        <f t="shared" si="71"/>
        <v/>
      </c>
      <c r="K911" s="37" t="str">
        <f>IF(A911="","",Inputs!$B$11-B911)</f>
        <v/>
      </c>
      <c r="L911" s="5" t="str">
        <f>IF(A911="","",IF(I911&lt;=0,"Sold out",IF(K911&gt;=Inputs!$B$18,"Dead",IF(K911&gt;=Inputs!$B$17,"Ageing",IF(K911&gt;=Inputs!$B$16,"Watch","Fresh")))))</f>
        <v/>
      </c>
      <c r="M911" s="5" t="str">
        <f t="shared" si="72"/>
        <v/>
      </c>
      <c r="N911" s="12" t="str">
        <f t="shared" si="73"/>
        <v/>
      </c>
      <c r="O911" s="36" t="str">
        <f t="shared" si="74"/>
        <v/>
      </c>
    </row>
    <row r="912" spans="1:15" x14ac:dyDescent="0.25">
      <c r="A912" s="34"/>
      <c r="B912" s="33"/>
      <c r="C912" s="34"/>
      <c r="D912" s="34"/>
      <c r="E912" s="34"/>
      <c r="F912" s="34"/>
      <c r="G912" s="35"/>
      <c r="H912" s="34"/>
      <c r="I912" s="5" t="str">
        <f t="shared" si="70"/>
        <v/>
      </c>
      <c r="J912" s="12" t="str">
        <f t="shared" si="71"/>
        <v/>
      </c>
      <c r="K912" s="37" t="str">
        <f>IF(A912="","",Inputs!$B$11-B912)</f>
        <v/>
      </c>
      <c r="L912" s="5" t="str">
        <f>IF(A912="","",IF(I912&lt;=0,"Sold out",IF(K912&gt;=Inputs!$B$18,"Dead",IF(K912&gt;=Inputs!$B$17,"Ageing",IF(K912&gt;=Inputs!$B$16,"Watch","Fresh")))))</f>
        <v/>
      </c>
      <c r="M912" s="5" t="str">
        <f t="shared" si="72"/>
        <v/>
      </c>
      <c r="N912" s="12" t="str">
        <f t="shared" si="73"/>
        <v/>
      </c>
      <c r="O912" s="36" t="str">
        <f t="shared" si="74"/>
        <v/>
      </c>
    </row>
    <row r="913" spans="1:15" x14ac:dyDescent="0.25">
      <c r="A913" s="34"/>
      <c r="B913" s="33"/>
      <c r="C913" s="34"/>
      <c r="D913" s="34"/>
      <c r="E913" s="34"/>
      <c r="F913" s="34"/>
      <c r="G913" s="35"/>
      <c r="H913" s="34"/>
      <c r="I913" s="5" t="str">
        <f t="shared" si="70"/>
        <v/>
      </c>
      <c r="J913" s="12" t="str">
        <f t="shared" si="71"/>
        <v/>
      </c>
      <c r="K913" s="37" t="str">
        <f>IF(A913="","",Inputs!$B$11-B913)</f>
        <v/>
      </c>
      <c r="L913" s="5" t="str">
        <f>IF(A913="","",IF(I913&lt;=0,"Sold out",IF(K913&gt;=Inputs!$B$18,"Dead",IF(K913&gt;=Inputs!$B$17,"Ageing",IF(K913&gt;=Inputs!$B$16,"Watch","Fresh")))))</f>
        <v/>
      </c>
      <c r="M913" s="5" t="str">
        <f t="shared" si="72"/>
        <v/>
      </c>
      <c r="N913" s="12" t="str">
        <f t="shared" si="73"/>
        <v/>
      </c>
      <c r="O913" s="36" t="str">
        <f t="shared" si="74"/>
        <v/>
      </c>
    </row>
    <row r="914" spans="1:15" x14ac:dyDescent="0.25">
      <c r="A914" s="34"/>
      <c r="B914" s="33"/>
      <c r="C914" s="34"/>
      <c r="D914" s="34"/>
      <c r="E914" s="34"/>
      <c r="F914" s="34"/>
      <c r="G914" s="35"/>
      <c r="H914" s="34"/>
      <c r="I914" s="5" t="str">
        <f t="shared" si="70"/>
        <v/>
      </c>
      <c r="J914" s="12" t="str">
        <f t="shared" si="71"/>
        <v/>
      </c>
      <c r="K914" s="37" t="str">
        <f>IF(A914="","",Inputs!$B$11-B914)</f>
        <v/>
      </c>
      <c r="L914" s="5" t="str">
        <f>IF(A914="","",IF(I914&lt;=0,"Sold out",IF(K914&gt;=Inputs!$B$18,"Dead",IF(K914&gt;=Inputs!$B$17,"Ageing",IF(K914&gt;=Inputs!$B$16,"Watch","Fresh")))))</f>
        <v/>
      </c>
      <c r="M914" s="5" t="str">
        <f t="shared" si="72"/>
        <v/>
      </c>
      <c r="N914" s="12" t="str">
        <f t="shared" si="73"/>
        <v/>
      </c>
      <c r="O914" s="36" t="str">
        <f t="shared" si="74"/>
        <v/>
      </c>
    </row>
    <row r="915" spans="1:15" x14ac:dyDescent="0.25">
      <c r="A915" s="34"/>
      <c r="B915" s="33"/>
      <c r="C915" s="34"/>
      <c r="D915" s="34"/>
      <c r="E915" s="34"/>
      <c r="F915" s="34"/>
      <c r="G915" s="35"/>
      <c r="H915" s="34"/>
      <c r="I915" s="5" t="str">
        <f t="shared" si="70"/>
        <v/>
      </c>
      <c r="J915" s="12" t="str">
        <f t="shared" si="71"/>
        <v/>
      </c>
      <c r="K915" s="37" t="str">
        <f>IF(A915="","",Inputs!$B$11-B915)</f>
        <v/>
      </c>
      <c r="L915" s="5" t="str">
        <f>IF(A915="","",IF(I915&lt;=0,"Sold out",IF(K915&gt;=Inputs!$B$18,"Dead",IF(K915&gt;=Inputs!$B$17,"Ageing",IF(K915&gt;=Inputs!$B$16,"Watch","Fresh")))))</f>
        <v/>
      </c>
      <c r="M915" s="5" t="str">
        <f t="shared" si="72"/>
        <v/>
      </c>
      <c r="N915" s="12" t="str">
        <f t="shared" si="73"/>
        <v/>
      </c>
      <c r="O915" s="36" t="str">
        <f t="shared" si="74"/>
        <v/>
      </c>
    </row>
    <row r="916" spans="1:15" x14ac:dyDescent="0.25">
      <c r="A916" s="34"/>
      <c r="B916" s="33"/>
      <c r="C916" s="34"/>
      <c r="D916" s="34"/>
      <c r="E916" s="34"/>
      <c r="F916" s="34"/>
      <c r="G916" s="35"/>
      <c r="H916" s="34"/>
      <c r="I916" s="5" t="str">
        <f t="shared" si="70"/>
        <v/>
      </c>
      <c r="J916" s="12" t="str">
        <f t="shared" si="71"/>
        <v/>
      </c>
      <c r="K916" s="37" t="str">
        <f>IF(A916="","",Inputs!$B$11-B916)</f>
        <v/>
      </c>
      <c r="L916" s="5" t="str">
        <f>IF(A916="","",IF(I916&lt;=0,"Sold out",IF(K916&gt;=Inputs!$B$18,"Dead",IF(K916&gt;=Inputs!$B$17,"Ageing",IF(K916&gt;=Inputs!$B$16,"Watch","Fresh")))))</f>
        <v/>
      </c>
      <c r="M916" s="5" t="str">
        <f t="shared" si="72"/>
        <v/>
      </c>
      <c r="N916" s="12" t="str">
        <f t="shared" si="73"/>
        <v/>
      </c>
      <c r="O916" s="36" t="str">
        <f t="shared" si="74"/>
        <v/>
      </c>
    </row>
    <row r="917" spans="1:15" x14ac:dyDescent="0.25">
      <c r="A917" s="34"/>
      <c r="B917" s="33"/>
      <c r="C917" s="34"/>
      <c r="D917" s="34"/>
      <c r="E917" s="34"/>
      <c r="F917" s="34"/>
      <c r="G917" s="35"/>
      <c r="H917" s="34"/>
      <c r="I917" s="5" t="str">
        <f t="shared" si="70"/>
        <v/>
      </c>
      <c r="J917" s="12" t="str">
        <f t="shared" si="71"/>
        <v/>
      </c>
      <c r="K917" s="37" t="str">
        <f>IF(A917="","",Inputs!$B$11-B917)</f>
        <v/>
      </c>
      <c r="L917" s="5" t="str">
        <f>IF(A917="","",IF(I917&lt;=0,"Sold out",IF(K917&gt;=Inputs!$B$18,"Dead",IF(K917&gt;=Inputs!$B$17,"Ageing",IF(K917&gt;=Inputs!$B$16,"Watch","Fresh")))))</f>
        <v/>
      </c>
      <c r="M917" s="5" t="str">
        <f t="shared" si="72"/>
        <v/>
      </c>
      <c r="N917" s="12" t="str">
        <f t="shared" si="73"/>
        <v/>
      </c>
      <c r="O917" s="36" t="str">
        <f t="shared" si="74"/>
        <v/>
      </c>
    </row>
    <row r="918" spans="1:15" x14ac:dyDescent="0.25">
      <c r="A918" s="34"/>
      <c r="B918" s="33"/>
      <c r="C918" s="34"/>
      <c r="D918" s="34"/>
      <c r="E918" s="34"/>
      <c r="F918" s="34"/>
      <c r="G918" s="35"/>
      <c r="H918" s="34"/>
      <c r="I918" s="5" t="str">
        <f t="shared" si="70"/>
        <v/>
      </c>
      <c r="J918" s="12" t="str">
        <f t="shared" si="71"/>
        <v/>
      </c>
      <c r="K918" s="37" t="str">
        <f>IF(A918="","",Inputs!$B$11-B918)</f>
        <v/>
      </c>
      <c r="L918" s="5" t="str">
        <f>IF(A918="","",IF(I918&lt;=0,"Sold out",IF(K918&gt;=Inputs!$B$18,"Dead",IF(K918&gt;=Inputs!$B$17,"Ageing",IF(K918&gt;=Inputs!$B$16,"Watch","Fresh")))))</f>
        <v/>
      </c>
      <c r="M918" s="5" t="str">
        <f t="shared" si="72"/>
        <v/>
      </c>
      <c r="N918" s="12" t="str">
        <f t="shared" si="73"/>
        <v/>
      </c>
      <c r="O918" s="36" t="str">
        <f t="shared" si="74"/>
        <v/>
      </c>
    </row>
    <row r="919" spans="1:15" x14ac:dyDescent="0.25">
      <c r="A919" s="34"/>
      <c r="B919" s="33"/>
      <c r="C919" s="34"/>
      <c r="D919" s="34"/>
      <c r="E919" s="34"/>
      <c r="F919" s="34"/>
      <c r="G919" s="35"/>
      <c r="H919" s="34"/>
      <c r="I919" s="5" t="str">
        <f t="shared" si="70"/>
        <v/>
      </c>
      <c r="J919" s="12" t="str">
        <f t="shared" si="71"/>
        <v/>
      </c>
      <c r="K919" s="37" t="str">
        <f>IF(A919="","",Inputs!$B$11-B919)</f>
        <v/>
      </c>
      <c r="L919" s="5" t="str">
        <f>IF(A919="","",IF(I919&lt;=0,"Sold out",IF(K919&gt;=Inputs!$B$18,"Dead",IF(K919&gt;=Inputs!$B$17,"Ageing",IF(K919&gt;=Inputs!$B$16,"Watch","Fresh")))))</f>
        <v/>
      </c>
      <c r="M919" s="5" t="str">
        <f t="shared" si="72"/>
        <v/>
      </c>
      <c r="N919" s="12" t="str">
        <f t="shared" si="73"/>
        <v/>
      </c>
      <c r="O919" s="36" t="str">
        <f t="shared" si="74"/>
        <v/>
      </c>
    </row>
    <row r="920" spans="1:15" x14ac:dyDescent="0.25">
      <c r="A920" s="34"/>
      <c r="B920" s="33"/>
      <c r="C920" s="34"/>
      <c r="D920" s="34"/>
      <c r="E920" s="34"/>
      <c r="F920" s="34"/>
      <c r="G920" s="35"/>
      <c r="H920" s="34"/>
      <c r="I920" s="5" t="str">
        <f t="shared" si="70"/>
        <v/>
      </c>
      <c r="J920" s="12" t="str">
        <f t="shared" si="71"/>
        <v/>
      </c>
      <c r="K920" s="37" t="str">
        <f>IF(A920="","",Inputs!$B$11-B920)</f>
        <v/>
      </c>
      <c r="L920" s="5" t="str">
        <f>IF(A920="","",IF(I920&lt;=0,"Sold out",IF(K920&gt;=Inputs!$B$18,"Dead",IF(K920&gt;=Inputs!$B$17,"Ageing",IF(K920&gt;=Inputs!$B$16,"Watch","Fresh")))))</f>
        <v/>
      </c>
      <c r="M920" s="5" t="str">
        <f t="shared" si="72"/>
        <v/>
      </c>
      <c r="N920" s="12" t="str">
        <f t="shared" si="73"/>
        <v/>
      </c>
      <c r="O920" s="36" t="str">
        <f t="shared" si="74"/>
        <v/>
      </c>
    </row>
    <row r="921" spans="1:15" x14ac:dyDescent="0.25">
      <c r="A921" s="34"/>
      <c r="B921" s="33"/>
      <c r="C921" s="34"/>
      <c r="D921" s="34"/>
      <c r="E921" s="34"/>
      <c r="F921" s="34"/>
      <c r="G921" s="35"/>
      <c r="H921" s="34"/>
      <c r="I921" s="5" t="str">
        <f t="shared" si="70"/>
        <v/>
      </c>
      <c r="J921" s="12" t="str">
        <f t="shared" si="71"/>
        <v/>
      </c>
      <c r="K921" s="37" t="str">
        <f>IF(A921="","",Inputs!$B$11-B921)</f>
        <v/>
      </c>
      <c r="L921" s="5" t="str">
        <f>IF(A921="","",IF(I921&lt;=0,"Sold out",IF(K921&gt;=Inputs!$B$18,"Dead",IF(K921&gt;=Inputs!$B$17,"Ageing",IF(K921&gt;=Inputs!$B$16,"Watch","Fresh")))))</f>
        <v/>
      </c>
      <c r="M921" s="5" t="str">
        <f t="shared" si="72"/>
        <v/>
      </c>
      <c r="N921" s="12" t="str">
        <f t="shared" si="73"/>
        <v/>
      </c>
      <c r="O921" s="36" t="str">
        <f t="shared" si="74"/>
        <v/>
      </c>
    </row>
    <row r="922" spans="1:15" x14ac:dyDescent="0.25">
      <c r="A922" s="34"/>
      <c r="B922" s="33"/>
      <c r="C922" s="34"/>
      <c r="D922" s="34"/>
      <c r="E922" s="34"/>
      <c r="F922" s="34"/>
      <c r="G922" s="35"/>
      <c r="H922" s="34"/>
      <c r="I922" s="5" t="str">
        <f t="shared" si="70"/>
        <v/>
      </c>
      <c r="J922" s="12" t="str">
        <f t="shared" si="71"/>
        <v/>
      </c>
      <c r="K922" s="37" t="str">
        <f>IF(A922="","",Inputs!$B$11-B922)</f>
        <v/>
      </c>
      <c r="L922" s="5" t="str">
        <f>IF(A922="","",IF(I922&lt;=0,"Sold out",IF(K922&gt;=Inputs!$B$18,"Dead",IF(K922&gt;=Inputs!$B$17,"Ageing",IF(K922&gt;=Inputs!$B$16,"Watch","Fresh")))))</f>
        <v/>
      </c>
      <c r="M922" s="5" t="str">
        <f t="shared" si="72"/>
        <v/>
      </c>
      <c r="N922" s="12" t="str">
        <f t="shared" si="73"/>
        <v/>
      </c>
      <c r="O922" s="36" t="str">
        <f t="shared" si="74"/>
        <v/>
      </c>
    </row>
    <row r="923" spans="1:15" x14ac:dyDescent="0.25">
      <c r="A923" s="34"/>
      <c r="B923" s="33"/>
      <c r="C923" s="34"/>
      <c r="D923" s="34"/>
      <c r="E923" s="34"/>
      <c r="F923" s="34"/>
      <c r="G923" s="35"/>
      <c r="H923" s="34"/>
      <c r="I923" s="5" t="str">
        <f t="shared" si="70"/>
        <v/>
      </c>
      <c r="J923" s="12" t="str">
        <f t="shared" si="71"/>
        <v/>
      </c>
      <c r="K923" s="37" t="str">
        <f>IF(A923="","",Inputs!$B$11-B923)</f>
        <v/>
      </c>
      <c r="L923" s="5" t="str">
        <f>IF(A923="","",IF(I923&lt;=0,"Sold out",IF(K923&gt;=Inputs!$B$18,"Dead",IF(K923&gt;=Inputs!$B$17,"Ageing",IF(K923&gt;=Inputs!$B$16,"Watch","Fresh")))))</f>
        <v/>
      </c>
      <c r="M923" s="5" t="str">
        <f t="shared" si="72"/>
        <v/>
      </c>
      <c r="N923" s="12" t="str">
        <f t="shared" si="73"/>
        <v/>
      </c>
      <c r="O923" s="36" t="str">
        <f t="shared" si="74"/>
        <v/>
      </c>
    </row>
    <row r="924" spans="1:15" x14ac:dyDescent="0.25">
      <c r="A924" s="34"/>
      <c r="B924" s="33"/>
      <c r="C924" s="34"/>
      <c r="D924" s="34"/>
      <c r="E924" s="34"/>
      <c r="F924" s="34"/>
      <c r="G924" s="35"/>
      <c r="H924" s="34"/>
      <c r="I924" s="5" t="str">
        <f t="shared" si="70"/>
        <v/>
      </c>
      <c r="J924" s="12" t="str">
        <f t="shared" si="71"/>
        <v/>
      </c>
      <c r="K924" s="37" t="str">
        <f>IF(A924="","",Inputs!$B$11-B924)</f>
        <v/>
      </c>
      <c r="L924" s="5" t="str">
        <f>IF(A924="","",IF(I924&lt;=0,"Sold out",IF(K924&gt;=Inputs!$B$18,"Dead",IF(K924&gt;=Inputs!$B$17,"Ageing",IF(K924&gt;=Inputs!$B$16,"Watch","Fresh")))))</f>
        <v/>
      </c>
      <c r="M924" s="5" t="str">
        <f t="shared" si="72"/>
        <v/>
      </c>
      <c r="N924" s="12" t="str">
        <f t="shared" si="73"/>
        <v/>
      </c>
      <c r="O924" s="36" t="str">
        <f t="shared" si="74"/>
        <v/>
      </c>
    </row>
    <row r="925" spans="1:15" x14ac:dyDescent="0.25">
      <c r="A925" s="34"/>
      <c r="B925" s="33"/>
      <c r="C925" s="34"/>
      <c r="D925" s="34"/>
      <c r="E925" s="34"/>
      <c r="F925" s="34"/>
      <c r="G925" s="35"/>
      <c r="H925" s="34"/>
      <c r="I925" s="5" t="str">
        <f t="shared" si="70"/>
        <v/>
      </c>
      <c r="J925" s="12" t="str">
        <f t="shared" si="71"/>
        <v/>
      </c>
      <c r="K925" s="37" t="str">
        <f>IF(A925="","",Inputs!$B$11-B925)</f>
        <v/>
      </c>
      <c r="L925" s="5" t="str">
        <f>IF(A925="","",IF(I925&lt;=0,"Sold out",IF(K925&gt;=Inputs!$B$18,"Dead",IF(K925&gt;=Inputs!$B$17,"Ageing",IF(K925&gt;=Inputs!$B$16,"Watch","Fresh")))))</f>
        <v/>
      </c>
      <c r="M925" s="5" t="str">
        <f t="shared" si="72"/>
        <v/>
      </c>
      <c r="N925" s="12" t="str">
        <f t="shared" si="73"/>
        <v/>
      </c>
      <c r="O925" s="36" t="str">
        <f t="shared" si="74"/>
        <v/>
      </c>
    </row>
    <row r="926" spans="1:15" x14ac:dyDescent="0.25">
      <c r="A926" s="34"/>
      <c r="B926" s="33"/>
      <c r="C926" s="34"/>
      <c r="D926" s="34"/>
      <c r="E926" s="34"/>
      <c r="F926" s="34"/>
      <c r="G926" s="35"/>
      <c r="H926" s="34"/>
      <c r="I926" s="5" t="str">
        <f t="shared" si="70"/>
        <v/>
      </c>
      <c r="J926" s="12" t="str">
        <f t="shared" si="71"/>
        <v/>
      </c>
      <c r="K926" s="37" t="str">
        <f>IF(A926="","",Inputs!$B$11-B926)</f>
        <v/>
      </c>
      <c r="L926" s="5" t="str">
        <f>IF(A926="","",IF(I926&lt;=0,"Sold out",IF(K926&gt;=Inputs!$B$18,"Dead",IF(K926&gt;=Inputs!$B$17,"Ageing",IF(K926&gt;=Inputs!$B$16,"Watch","Fresh")))))</f>
        <v/>
      </c>
      <c r="M926" s="5" t="str">
        <f t="shared" si="72"/>
        <v/>
      </c>
      <c r="N926" s="12" t="str">
        <f t="shared" si="73"/>
        <v/>
      </c>
      <c r="O926" s="36" t="str">
        <f t="shared" si="74"/>
        <v/>
      </c>
    </row>
    <row r="927" spans="1:15" x14ac:dyDescent="0.25">
      <c r="A927" s="34"/>
      <c r="B927" s="33"/>
      <c r="C927" s="34"/>
      <c r="D927" s="34"/>
      <c r="E927" s="34"/>
      <c r="F927" s="34"/>
      <c r="G927" s="35"/>
      <c r="H927" s="34"/>
      <c r="I927" s="5" t="str">
        <f t="shared" si="70"/>
        <v/>
      </c>
      <c r="J927" s="12" t="str">
        <f t="shared" si="71"/>
        <v/>
      </c>
      <c r="K927" s="37" t="str">
        <f>IF(A927="","",Inputs!$B$11-B927)</f>
        <v/>
      </c>
      <c r="L927" s="5" t="str">
        <f>IF(A927="","",IF(I927&lt;=0,"Sold out",IF(K927&gt;=Inputs!$B$18,"Dead",IF(K927&gt;=Inputs!$B$17,"Ageing",IF(K927&gt;=Inputs!$B$16,"Watch","Fresh")))))</f>
        <v/>
      </c>
      <c r="M927" s="5" t="str">
        <f t="shared" si="72"/>
        <v/>
      </c>
      <c r="N927" s="12" t="str">
        <f t="shared" si="73"/>
        <v/>
      </c>
      <c r="O927" s="36" t="str">
        <f t="shared" si="74"/>
        <v/>
      </c>
    </row>
    <row r="928" spans="1:15" x14ac:dyDescent="0.25">
      <c r="A928" s="34"/>
      <c r="B928" s="33"/>
      <c r="C928" s="34"/>
      <c r="D928" s="34"/>
      <c r="E928" s="34"/>
      <c r="F928" s="34"/>
      <c r="G928" s="35"/>
      <c r="H928" s="34"/>
      <c r="I928" s="5" t="str">
        <f t="shared" si="70"/>
        <v/>
      </c>
      <c r="J928" s="12" t="str">
        <f t="shared" si="71"/>
        <v/>
      </c>
      <c r="K928" s="37" t="str">
        <f>IF(A928="","",Inputs!$B$11-B928)</f>
        <v/>
      </c>
      <c r="L928" s="5" t="str">
        <f>IF(A928="","",IF(I928&lt;=0,"Sold out",IF(K928&gt;=Inputs!$B$18,"Dead",IF(K928&gt;=Inputs!$B$17,"Ageing",IF(K928&gt;=Inputs!$B$16,"Watch","Fresh")))))</f>
        <v/>
      </c>
      <c r="M928" s="5" t="str">
        <f t="shared" si="72"/>
        <v/>
      </c>
      <c r="N928" s="12" t="str">
        <f t="shared" si="73"/>
        <v/>
      </c>
      <c r="O928" s="36" t="str">
        <f t="shared" si="74"/>
        <v/>
      </c>
    </row>
    <row r="929" spans="1:15" x14ac:dyDescent="0.25">
      <c r="A929" s="34"/>
      <c r="B929" s="33"/>
      <c r="C929" s="34"/>
      <c r="D929" s="34"/>
      <c r="E929" s="34"/>
      <c r="F929" s="34"/>
      <c r="G929" s="35"/>
      <c r="H929" s="34"/>
      <c r="I929" s="5" t="str">
        <f t="shared" si="70"/>
        <v/>
      </c>
      <c r="J929" s="12" t="str">
        <f t="shared" si="71"/>
        <v/>
      </c>
      <c r="K929" s="37" t="str">
        <f>IF(A929="","",Inputs!$B$11-B929)</f>
        <v/>
      </c>
      <c r="L929" s="5" t="str">
        <f>IF(A929="","",IF(I929&lt;=0,"Sold out",IF(K929&gt;=Inputs!$B$18,"Dead",IF(K929&gt;=Inputs!$B$17,"Ageing",IF(K929&gt;=Inputs!$B$16,"Watch","Fresh")))))</f>
        <v/>
      </c>
      <c r="M929" s="5" t="str">
        <f t="shared" si="72"/>
        <v/>
      </c>
      <c r="N929" s="12" t="str">
        <f t="shared" si="73"/>
        <v/>
      </c>
      <c r="O929" s="36" t="str">
        <f t="shared" si="74"/>
        <v/>
      </c>
    </row>
    <row r="930" spans="1:15" x14ac:dyDescent="0.25">
      <c r="A930" s="34"/>
      <c r="B930" s="33"/>
      <c r="C930" s="34"/>
      <c r="D930" s="34"/>
      <c r="E930" s="34"/>
      <c r="F930" s="34"/>
      <c r="G930" s="35"/>
      <c r="H930" s="34"/>
      <c r="I930" s="5" t="str">
        <f t="shared" si="70"/>
        <v/>
      </c>
      <c r="J930" s="12" t="str">
        <f t="shared" si="71"/>
        <v/>
      </c>
      <c r="K930" s="37" t="str">
        <f>IF(A930="","",Inputs!$B$11-B930)</f>
        <v/>
      </c>
      <c r="L930" s="5" t="str">
        <f>IF(A930="","",IF(I930&lt;=0,"Sold out",IF(K930&gt;=Inputs!$B$18,"Dead",IF(K930&gt;=Inputs!$B$17,"Ageing",IF(K930&gt;=Inputs!$B$16,"Watch","Fresh")))))</f>
        <v/>
      </c>
      <c r="M930" s="5" t="str">
        <f t="shared" si="72"/>
        <v/>
      </c>
      <c r="N930" s="12" t="str">
        <f t="shared" si="73"/>
        <v/>
      </c>
      <c r="O930" s="36" t="str">
        <f t="shared" si="74"/>
        <v/>
      </c>
    </row>
    <row r="931" spans="1:15" x14ac:dyDescent="0.25">
      <c r="A931" s="34"/>
      <c r="B931" s="33"/>
      <c r="C931" s="34"/>
      <c r="D931" s="34"/>
      <c r="E931" s="34"/>
      <c r="F931" s="34"/>
      <c r="G931" s="35"/>
      <c r="H931" s="34"/>
      <c r="I931" s="5" t="str">
        <f t="shared" si="70"/>
        <v/>
      </c>
      <c r="J931" s="12" t="str">
        <f t="shared" si="71"/>
        <v/>
      </c>
      <c r="K931" s="37" t="str">
        <f>IF(A931="","",Inputs!$B$11-B931)</f>
        <v/>
      </c>
      <c r="L931" s="5" t="str">
        <f>IF(A931="","",IF(I931&lt;=0,"Sold out",IF(K931&gt;=Inputs!$B$18,"Dead",IF(K931&gt;=Inputs!$B$17,"Ageing",IF(K931&gt;=Inputs!$B$16,"Watch","Fresh")))))</f>
        <v/>
      </c>
      <c r="M931" s="5" t="str">
        <f t="shared" si="72"/>
        <v/>
      </c>
      <c r="N931" s="12" t="str">
        <f t="shared" si="73"/>
        <v/>
      </c>
      <c r="O931" s="36" t="str">
        <f t="shared" si="74"/>
        <v/>
      </c>
    </row>
    <row r="932" spans="1:15" x14ac:dyDescent="0.25">
      <c r="A932" s="34"/>
      <c r="B932" s="33"/>
      <c r="C932" s="34"/>
      <c r="D932" s="34"/>
      <c r="E932" s="34"/>
      <c r="F932" s="34"/>
      <c r="G932" s="35"/>
      <c r="H932" s="34"/>
      <c r="I932" s="5" t="str">
        <f t="shared" si="70"/>
        <v/>
      </c>
      <c r="J932" s="12" t="str">
        <f t="shared" si="71"/>
        <v/>
      </c>
      <c r="K932" s="37" t="str">
        <f>IF(A932="","",Inputs!$B$11-B932)</f>
        <v/>
      </c>
      <c r="L932" s="5" t="str">
        <f>IF(A932="","",IF(I932&lt;=0,"Sold out",IF(K932&gt;=Inputs!$B$18,"Dead",IF(K932&gt;=Inputs!$B$17,"Ageing",IF(K932&gt;=Inputs!$B$16,"Watch","Fresh")))))</f>
        <v/>
      </c>
      <c r="M932" s="5" t="str">
        <f t="shared" si="72"/>
        <v/>
      </c>
      <c r="N932" s="12" t="str">
        <f t="shared" si="73"/>
        <v/>
      </c>
      <c r="O932" s="36" t="str">
        <f t="shared" si="74"/>
        <v/>
      </c>
    </row>
    <row r="933" spans="1:15" x14ac:dyDescent="0.25">
      <c r="A933" s="34"/>
      <c r="B933" s="33"/>
      <c r="C933" s="34"/>
      <c r="D933" s="34"/>
      <c r="E933" s="34"/>
      <c r="F933" s="34"/>
      <c r="G933" s="35"/>
      <c r="H933" s="34"/>
      <c r="I933" s="5" t="str">
        <f t="shared" si="70"/>
        <v/>
      </c>
      <c r="J933" s="12" t="str">
        <f t="shared" si="71"/>
        <v/>
      </c>
      <c r="K933" s="37" t="str">
        <f>IF(A933="","",Inputs!$B$11-B933)</f>
        <v/>
      </c>
      <c r="L933" s="5" t="str">
        <f>IF(A933="","",IF(I933&lt;=0,"Sold out",IF(K933&gt;=Inputs!$B$18,"Dead",IF(K933&gt;=Inputs!$B$17,"Ageing",IF(K933&gt;=Inputs!$B$16,"Watch","Fresh")))))</f>
        <v/>
      </c>
      <c r="M933" s="5" t="str">
        <f t="shared" si="72"/>
        <v/>
      </c>
      <c r="N933" s="12" t="str">
        <f t="shared" si="73"/>
        <v/>
      </c>
      <c r="O933" s="36" t="str">
        <f t="shared" si="74"/>
        <v/>
      </c>
    </row>
    <row r="934" spans="1:15" x14ac:dyDescent="0.25">
      <c r="A934" s="34"/>
      <c r="B934" s="33"/>
      <c r="C934" s="34"/>
      <c r="D934" s="34"/>
      <c r="E934" s="34"/>
      <c r="F934" s="34"/>
      <c r="G934" s="35"/>
      <c r="H934" s="34"/>
      <c r="I934" s="5" t="str">
        <f t="shared" si="70"/>
        <v/>
      </c>
      <c r="J934" s="12" t="str">
        <f t="shared" si="71"/>
        <v/>
      </c>
      <c r="K934" s="37" t="str">
        <f>IF(A934="","",Inputs!$B$11-B934)</f>
        <v/>
      </c>
      <c r="L934" s="5" t="str">
        <f>IF(A934="","",IF(I934&lt;=0,"Sold out",IF(K934&gt;=Inputs!$B$18,"Dead",IF(K934&gt;=Inputs!$B$17,"Ageing",IF(K934&gt;=Inputs!$B$16,"Watch","Fresh")))))</f>
        <v/>
      </c>
      <c r="M934" s="5" t="str">
        <f t="shared" si="72"/>
        <v/>
      </c>
      <c r="N934" s="12" t="str">
        <f t="shared" si="73"/>
        <v/>
      </c>
      <c r="O934" s="36" t="str">
        <f t="shared" si="74"/>
        <v/>
      </c>
    </row>
    <row r="935" spans="1:15" x14ac:dyDescent="0.25">
      <c r="A935" s="34"/>
      <c r="B935" s="33"/>
      <c r="C935" s="34"/>
      <c r="D935" s="34"/>
      <c r="E935" s="34"/>
      <c r="F935" s="34"/>
      <c r="G935" s="35"/>
      <c r="H935" s="34"/>
      <c r="I935" s="5" t="str">
        <f t="shared" si="70"/>
        <v/>
      </c>
      <c r="J935" s="12" t="str">
        <f t="shared" si="71"/>
        <v/>
      </c>
      <c r="K935" s="37" t="str">
        <f>IF(A935="","",Inputs!$B$11-B935)</f>
        <v/>
      </c>
      <c r="L935" s="5" t="str">
        <f>IF(A935="","",IF(I935&lt;=0,"Sold out",IF(K935&gt;=Inputs!$B$18,"Dead",IF(K935&gt;=Inputs!$B$17,"Ageing",IF(K935&gt;=Inputs!$B$16,"Watch","Fresh")))))</f>
        <v/>
      </c>
      <c r="M935" s="5" t="str">
        <f t="shared" si="72"/>
        <v/>
      </c>
      <c r="N935" s="12" t="str">
        <f t="shared" si="73"/>
        <v/>
      </c>
      <c r="O935" s="36" t="str">
        <f t="shared" si="74"/>
        <v/>
      </c>
    </row>
    <row r="936" spans="1:15" x14ac:dyDescent="0.25">
      <c r="A936" s="34"/>
      <c r="B936" s="33"/>
      <c r="C936" s="34"/>
      <c r="D936" s="34"/>
      <c r="E936" s="34"/>
      <c r="F936" s="34"/>
      <c r="G936" s="35"/>
      <c r="H936" s="34"/>
      <c r="I936" s="5" t="str">
        <f t="shared" si="70"/>
        <v/>
      </c>
      <c r="J936" s="12" t="str">
        <f t="shared" si="71"/>
        <v/>
      </c>
      <c r="K936" s="37" t="str">
        <f>IF(A936="","",Inputs!$B$11-B936)</f>
        <v/>
      </c>
      <c r="L936" s="5" t="str">
        <f>IF(A936="","",IF(I936&lt;=0,"Sold out",IF(K936&gt;=Inputs!$B$18,"Dead",IF(K936&gt;=Inputs!$B$17,"Ageing",IF(K936&gt;=Inputs!$B$16,"Watch","Fresh")))))</f>
        <v/>
      </c>
      <c r="M936" s="5" t="str">
        <f t="shared" si="72"/>
        <v/>
      </c>
      <c r="N936" s="12" t="str">
        <f t="shared" si="73"/>
        <v/>
      </c>
      <c r="O936" s="36" t="str">
        <f t="shared" si="74"/>
        <v/>
      </c>
    </row>
    <row r="937" spans="1:15" x14ac:dyDescent="0.25">
      <c r="A937" s="34"/>
      <c r="B937" s="33"/>
      <c r="C937" s="34"/>
      <c r="D937" s="34"/>
      <c r="E937" s="34"/>
      <c r="F937" s="34"/>
      <c r="G937" s="35"/>
      <c r="H937" s="34"/>
      <c r="I937" s="5" t="str">
        <f t="shared" si="70"/>
        <v/>
      </c>
      <c r="J937" s="12" t="str">
        <f t="shared" si="71"/>
        <v/>
      </c>
      <c r="K937" s="37" t="str">
        <f>IF(A937="","",Inputs!$B$11-B937)</f>
        <v/>
      </c>
      <c r="L937" s="5" t="str">
        <f>IF(A937="","",IF(I937&lt;=0,"Sold out",IF(K937&gt;=Inputs!$B$18,"Dead",IF(K937&gt;=Inputs!$B$17,"Ageing",IF(K937&gt;=Inputs!$B$16,"Watch","Fresh")))))</f>
        <v/>
      </c>
      <c r="M937" s="5" t="str">
        <f t="shared" si="72"/>
        <v/>
      </c>
      <c r="N937" s="12" t="str">
        <f t="shared" si="73"/>
        <v/>
      </c>
      <c r="O937" s="36" t="str">
        <f t="shared" si="74"/>
        <v/>
      </c>
    </row>
    <row r="938" spans="1:15" x14ac:dyDescent="0.25">
      <c r="A938" s="34"/>
      <c r="B938" s="33"/>
      <c r="C938" s="34"/>
      <c r="D938" s="34"/>
      <c r="E938" s="34"/>
      <c r="F938" s="34"/>
      <c r="G938" s="35"/>
      <c r="H938" s="34"/>
      <c r="I938" s="5" t="str">
        <f t="shared" si="70"/>
        <v/>
      </c>
      <c r="J938" s="12" t="str">
        <f t="shared" si="71"/>
        <v/>
      </c>
      <c r="K938" s="37" t="str">
        <f>IF(A938="","",Inputs!$B$11-B938)</f>
        <v/>
      </c>
      <c r="L938" s="5" t="str">
        <f>IF(A938="","",IF(I938&lt;=0,"Sold out",IF(K938&gt;=Inputs!$B$18,"Dead",IF(K938&gt;=Inputs!$B$17,"Ageing",IF(K938&gt;=Inputs!$B$16,"Watch","Fresh")))))</f>
        <v/>
      </c>
      <c r="M938" s="5" t="str">
        <f t="shared" si="72"/>
        <v/>
      </c>
      <c r="N938" s="12" t="str">
        <f t="shared" si="73"/>
        <v/>
      </c>
      <c r="O938" s="36" t="str">
        <f t="shared" si="74"/>
        <v/>
      </c>
    </row>
    <row r="939" spans="1:15" x14ac:dyDescent="0.25">
      <c r="A939" s="34"/>
      <c r="B939" s="33"/>
      <c r="C939" s="34"/>
      <c r="D939" s="34"/>
      <c r="E939" s="34"/>
      <c r="F939" s="34"/>
      <c r="G939" s="35"/>
      <c r="H939" s="34"/>
      <c r="I939" s="5" t="str">
        <f t="shared" si="70"/>
        <v/>
      </c>
      <c r="J939" s="12" t="str">
        <f t="shared" si="71"/>
        <v/>
      </c>
      <c r="K939" s="37" t="str">
        <f>IF(A939="","",Inputs!$B$11-B939)</f>
        <v/>
      </c>
      <c r="L939" s="5" t="str">
        <f>IF(A939="","",IF(I939&lt;=0,"Sold out",IF(K939&gt;=Inputs!$B$18,"Dead",IF(K939&gt;=Inputs!$B$17,"Ageing",IF(K939&gt;=Inputs!$B$16,"Watch","Fresh")))))</f>
        <v/>
      </c>
      <c r="M939" s="5" t="str">
        <f t="shared" si="72"/>
        <v/>
      </c>
      <c r="N939" s="12" t="str">
        <f t="shared" si="73"/>
        <v/>
      </c>
      <c r="O939" s="36" t="str">
        <f t="shared" si="74"/>
        <v/>
      </c>
    </row>
    <row r="940" spans="1:15" x14ac:dyDescent="0.25">
      <c r="A940" s="34"/>
      <c r="B940" s="33"/>
      <c r="C940" s="34"/>
      <c r="D940" s="34"/>
      <c r="E940" s="34"/>
      <c r="F940" s="34"/>
      <c r="G940" s="35"/>
      <c r="H940" s="34"/>
      <c r="I940" s="5" t="str">
        <f t="shared" si="70"/>
        <v/>
      </c>
      <c r="J940" s="12" t="str">
        <f t="shared" si="71"/>
        <v/>
      </c>
      <c r="K940" s="37" t="str">
        <f>IF(A940="","",Inputs!$B$11-B940)</f>
        <v/>
      </c>
      <c r="L940" s="5" t="str">
        <f>IF(A940="","",IF(I940&lt;=0,"Sold out",IF(K940&gt;=Inputs!$B$18,"Dead",IF(K940&gt;=Inputs!$B$17,"Ageing",IF(K940&gt;=Inputs!$B$16,"Watch","Fresh")))))</f>
        <v/>
      </c>
      <c r="M940" s="5" t="str">
        <f t="shared" si="72"/>
        <v/>
      </c>
      <c r="N940" s="12" t="str">
        <f t="shared" si="73"/>
        <v/>
      </c>
      <c r="O940" s="36" t="str">
        <f t="shared" si="74"/>
        <v/>
      </c>
    </row>
    <row r="941" spans="1:15" x14ac:dyDescent="0.25">
      <c r="A941" s="34"/>
      <c r="B941" s="33"/>
      <c r="C941" s="34"/>
      <c r="D941" s="34"/>
      <c r="E941" s="34"/>
      <c r="F941" s="34"/>
      <c r="G941" s="35"/>
      <c r="H941" s="34"/>
      <c r="I941" s="5" t="str">
        <f t="shared" si="70"/>
        <v/>
      </c>
      <c r="J941" s="12" t="str">
        <f t="shared" si="71"/>
        <v/>
      </c>
      <c r="K941" s="37" t="str">
        <f>IF(A941="","",Inputs!$B$11-B941)</f>
        <v/>
      </c>
      <c r="L941" s="5" t="str">
        <f>IF(A941="","",IF(I941&lt;=0,"Sold out",IF(K941&gt;=Inputs!$B$18,"Dead",IF(K941&gt;=Inputs!$B$17,"Ageing",IF(K941&gt;=Inputs!$B$16,"Watch","Fresh")))))</f>
        <v/>
      </c>
      <c r="M941" s="5" t="str">
        <f t="shared" si="72"/>
        <v/>
      </c>
      <c r="N941" s="12" t="str">
        <f t="shared" si="73"/>
        <v/>
      </c>
      <c r="O941" s="36" t="str">
        <f t="shared" si="74"/>
        <v/>
      </c>
    </row>
    <row r="942" spans="1:15" x14ac:dyDescent="0.25">
      <c r="A942" s="34"/>
      <c r="B942" s="33"/>
      <c r="C942" s="34"/>
      <c r="D942" s="34"/>
      <c r="E942" s="34"/>
      <c r="F942" s="34"/>
      <c r="G942" s="35"/>
      <c r="H942" s="34"/>
      <c r="I942" s="5" t="str">
        <f t="shared" si="70"/>
        <v/>
      </c>
      <c r="J942" s="12" t="str">
        <f t="shared" si="71"/>
        <v/>
      </c>
      <c r="K942" s="37" t="str">
        <f>IF(A942="","",Inputs!$B$11-B942)</f>
        <v/>
      </c>
      <c r="L942" s="5" t="str">
        <f>IF(A942="","",IF(I942&lt;=0,"Sold out",IF(K942&gt;=Inputs!$B$18,"Dead",IF(K942&gt;=Inputs!$B$17,"Ageing",IF(K942&gt;=Inputs!$B$16,"Watch","Fresh")))))</f>
        <v/>
      </c>
      <c r="M942" s="5" t="str">
        <f t="shared" si="72"/>
        <v/>
      </c>
      <c r="N942" s="12" t="str">
        <f t="shared" si="73"/>
        <v/>
      </c>
      <c r="O942" s="36" t="str">
        <f t="shared" si="74"/>
        <v/>
      </c>
    </row>
    <row r="943" spans="1:15" x14ac:dyDescent="0.25">
      <c r="A943" s="34"/>
      <c r="B943" s="33"/>
      <c r="C943" s="34"/>
      <c r="D943" s="34"/>
      <c r="E943" s="34"/>
      <c r="F943" s="34"/>
      <c r="G943" s="35"/>
      <c r="H943" s="34"/>
      <c r="I943" s="5" t="str">
        <f t="shared" si="70"/>
        <v/>
      </c>
      <c r="J943" s="12" t="str">
        <f t="shared" si="71"/>
        <v/>
      </c>
      <c r="K943" s="37" t="str">
        <f>IF(A943="","",Inputs!$B$11-B943)</f>
        <v/>
      </c>
      <c r="L943" s="5" t="str">
        <f>IF(A943="","",IF(I943&lt;=0,"Sold out",IF(K943&gt;=Inputs!$B$18,"Dead",IF(K943&gt;=Inputs!$B$17,"Ageing",IF(K943&gt;=Inputs!$B$16,"Watch","Fresh")))))</f>
        <v/>
      </c>
      <c r="M943" s="5" t="str">
        <f t="shared" si="72"/>
        <v/>
      </c>
      <c r="N943" s="12" t="str">
        <f t="shared" si="73"/>
        <v/>
      </c>
      <c r="O943" s="36" t="str">
        <f t="shared" si="74"/>
        <v/>
      </c>
    </row>
    <row r="944" spans="1:15" x14ac:dyDescent="0.25">
      <c r="A944" s="34"/>
      <c r="B944" s="33"/>
      <c r="C944" s="34"/>
      <c r="D944" s="34"/>
      <c r="E944" s="34"/>
      <c r="F944" s="34"/>
      <c r="G944" s="35"/>
      <c r="H944" s="34"/>
      <c r="I944" s="5" t="str">
        <f t="shared" si="70"/>
        <v/>
      </c>
      <c r="J944" s="12" t="str">
        <f t="shared" si="71"/>
        <v/>
      </c>
      <c r="K944" s="37" t="str">
        <f>IF(A944="","",Inputs!$B$11-B944)</f>
        <v/>
      </c>
      <c r="L944" s="5" t="str">
        <f>IF(A944="","",IF(I944&lt;=0,"Sold out",IF(K944&gt;=Inputs!$B$18,"Dead",IF(K944&gt;=Inputs!$B$17,"Ageing",IF(K944&gt;=Inputs!$B$16,"Watch","Fresh")))))</f>
        <v/>
      </c>
      <c r="M944" s="5" t="str">
        <f t="shared" si="72"/>
        <v/>
      </c>
      <c r="N944" s="12" t="str">
        <f t="shared" si="73"/>
        <v/>
      </c>
      <c r="O944" s="36" t="str">
        <f t="shared" si="74"/>
        <v/>
      </c>
    </row>
    <row r="945" spans="1:15" x14ac:dyDescent="0.25">
      <c r="A945" s="34"/>
      <c r="B945" s="33"/>
      <c r="C945" s="34"/>
      <c r="D945" s="34"/>
      <c r="E945" s="34"/>
      <c r="F945" s="34"/>
      <c r="G945" s="35"/>
      <c r="H945" s="34"/>
      <c r="I945" s="5" t="str">
        <f t="shared" si="70"/>
        <v/>
      </c>
      <c r="J945" s="12" t="str">
        <f t="shared" si="71"/>
        <v/>
      </c>
      <c r="K945" s="37" t="str">
        <f>IF(A945="","",Inputs!$B$11-B945)</f>
        <v/>
      </c>
      <c r="L945" s="5" t="str">
        <f>IF(A945="","",IF(I945&lt;=0,"Sold out",IF(K945&gt;=Inputs!$B$18,"Dead",IF(K945&gt;=Inputs!$B$17,"Ageing",IF(K945&gt;=Inputs!$B$16,"Watch","Fresh")))))</f>
        <v/>
      </c>
      <c r="M945" s="5" t="str">
        <f t="shared" si="72"/>
        <v/>
      </c>
      <c r="N945" s="12" t="str">
        <f t="shared" si="73"/>
        <v/>
      </c>
      <c r="O945" s="36" t="str">
        <f t="shared" si="74"/>
        <v/>
      </c>
    </row>
    <row r="946" spans="1:15" x14ac:dyDescent="0.25">
      <c r="A946" s="34"/>
      <c r="B946" s="33"/>
      <c r="C946" s="34"/>
      <c r="D946" s="34"/>
      <c r="E946" s="34"/>
      <c r="F946" s="34"/>
      <c r="G946" s="35"/>
      <c r="H946" s="34"/>
      <c r="I946" s="5" t="str">
        <f t="shared" si="70"/>
        <v/>
      </c>
      <c r="J946" s="12" t="str">
        <f t="shared" si="71"/>
        <v/>
      </c>
      <c r="K946" s="37" t="str">
        <f>IF(A946="","",Inputs!$B$11-B946)</f>
        <v/>
      </c>
      <c r="L946" s="5" t="str">
        <f>IF(A946="","",IF(I946&lt;=0,"Sold out",IF(K946&gt;=Inputs!$B$18,"Dead",IF(K946&gt;=Inputs!$B$17,"Ageing",IF(K946&gt;=Inputs!$B$16,"Watch","Fresh")))))</f>
        <v/>
      </c>
      <c r="M946" s="5" t="str">
        <f t="shared" si="72"/>
        <v/>
      </c>
      <c r="N946" s="12" t="str">
        <f t="shared" si="73"/>
        <v/>
      </c>
      <c r="O946" s="36" t="str">
        <f t="shared" si="74"/>
        <v/>
      </c>
    </row>
    <row r="947" spans="1:15" x14ac:dyDescent="0.25">
      <c r="A947" s="34"/>
      <c r="B947" s="33"/>
      <c r="C947" s="34"/>
      <c r="D947" s="34"/>
      <c r="E947" s="34"/>
      <c r="F947" s="34"/>
      <c r="G947" s="35"/>
      <c r="H947" s="34"/>
      <c r="I947" s="5" t="str">
        <f t="shared" si="70"/>
        <v/>
      </c>
      <c r="J947" s="12" t="str">
        <f t="shared" si="71"/>
        <v/>
      </c>
      <c r="K947" s="37" t="str">
        <f>IF(A947="","",Inputs!$B$11-B947)</f>
        <v/>
      </c>
      <c r="L947" s="5" t="str">
        <f>IF(A947="","",IF(I947&lt;=0,"Sold out",IF(K947&gt;=Inputs!$B$18,"Dead",IF(K947&gt;=Inputs!$B$17,"Ageing",IF(K947&gt;=Inputs!$B$16,"Watch","Fresh")))))</f>
        <v/>
      </c>
      <c r="M947" s="5" t="str">
        <f t="shared" si="72"/>
        <v/>
      </c>
      <c r="N947" s="12" t="str">
        <f t="shared" si="73"/>
        <v/>
      </c>
      <c r="O947" s="36" t="str">
        <f t="shared" si="74"/>
        <v/>
      </c>
    </row>
    <row r="948" spans="1:15" x14ac:dyDescent="0.25">
      <c r="A948" s="34"/>
      <c r="B948" s="33"/>
      <c r="C948" s="34"/>
      <c r="D948" s="34"/>
      <c r="E948" s="34"/>
      <c r="F948" s="34"/>
      <c r="G948" s="35"/>
      <c r="H948" s="34"/>
      <c r="I948" s="5" t="str">
        <f t="shared" si="70"/>
        <v/>
      </c>
      <c r="J948" s="12" t="str">
        <f t="shared" si="71"/>
        <v/>
      </c>
      <c r="K948" s="37" t="str">
        <f>IF(A948="","",Inputs!$B$11-B948)</f>
        <v/>
      </c>
      <c r="L948" s="5" t="str">
        <f>IF(A948="","",IF(I948&lt;=0,"Sold out",IF(K948&gt;=Inputs!$B$18,"Dead",IF(K948&gt;=Inputs!$B$17,"Ageing",IF(K948&gt;=Inputs!$B$16,"Watch","Fresh")))))</f>
        <v/>
      </c>
      <c r="M948" s="5" t="str">
        <f t="shared" si="72"/>
        <v/>
      </c>
      <c r="N948" s="12" t="str">
        <f t="shared" si="73"/>
        <v/>
      </c>
      <c r="O948" s="36" t="str">
        <f t="shared" si="74"/>
        <v/>
      </c>
    </row>
    <row r="949" spans="1:15" x14ac:dyDescent="0.25">
      <c r="A949" s="34"/>
      <c r="B949" s="33"/>
      <c r="C949" s="34"/>
      <c r="D949" s="34"/>
      <c r="E949" s="34"/>
      <c r="F949" s="34"/>
      <c r="G949" s="35"/>
      <c r="H949" s="34"/>
      <c r="I949" s="5" t="str">
        <f t="shared" si="70"/>
        <v/>
      </c>
      <c r="J949" s="12" t="str">
        <f t="shared" si="71"/>
        <v/>
      </c>
      <c r="K949" s="37" t="str">
        <f>IF(A949="","",Inputs!$B$11-B949)</f>
        <v/>
      </c>
      <c r="L949" s="5" t="str">
        <f>IF(A949="","",IF(I949&lt;=0,"Sold out",IF(K949&gt;=Inputs!$B$18,"Dead",IF(K949&gt;=Inputs!$B$17,"Ageing",IF(K949&gt;=Inputs!$B$16,"Watch","Fresh")))))</f>
        <v/>
      </c>
      <c r="M949" s="5" t="str">
        <f t="shared" si="72"/>
        <v/>
      </c>
      <c r="N949" s="12" t="str">
        <f t="shared" si="73"/>
        <v/>
      </c>
      <c r="O949" s="36" t="str">
        <f t="shared" si="74"/>
        <v/>
      </c>
    </row>
    <row r="950" spans="1:15" x14ac:dyDescent="0.25">
      <c r="A950" s="34"/>
      <c r="B950" s="33"/>
      <c r="C950" s="34"/>
      <c r="D950" s="34"/>
      <c r="E950" s="34"/>
      <c r="F950" s="34"/>
      <c r="G950" s="35"/>
      <c r="H950" s="34"/>
      <c r="I950" s="5" t="str">
        <f t="shared" si="70"/>
        <v/>
      </c>
      <c r="J950" s="12" t="str">
        <f t="shared" si="71"/>
        <v/>
      </c>
      <c r="K950" s="37" t="str">
        <f>IF(A950="","",Inputs!$B$11-B950)</f>
        <v/>
      </c>
      <c r="L950" s="5" t="str">
        <f>IF(A950="","",IF(I950&lt;=0,"Sold out",IF(K950&gt;=Inputs!$B$18,"Dead",IF(K950&gt;=Inputs!$B$17,"Ageing",IF(K950&gt;=Inputs!$B$16,"Watch","Fresh")))))</f>
        <v/>
      </c>
      <c r="M950" s="5" t="str">
        <f t="shared" si="72"/>
        <v/>
      </c>
      <c r="N950" s="12" t="str">
        <f t="shared" si="73"/>
        <v/>
      </c>
      <c r="O950" s="36" t="str">
        <f t="shared" si="74"/>
        <v/>
      </c>
    </row>
    <row r="951" spans="1:15" x14ac:dyDescent="0.25">
      <c r="A951" s="34"/>
      <c r="B951" s="33"/>
      <c r="C951" s="34"/>
      <c r="D951" s="34"/>
      <c r="E951" s="34"/>
      <c r="F951" s="34"/>
      <c r="G951" s="35"/>
      <c r="H951" s="34"/>
      <c r="I951" s="5" t="str">
        <f t="shared" si="70"/>
        <v/>
      </c>
      <c r="J951" s="12" t="str">
        <f t="shared" si="71"/>
        <v/>
      </c>
      <c r="K951" s="37" t="str">
        <f>IF(A951="","",Inputs!$B$11-B951)</f>
        <v/>
      </c>
      <c r="L951" s="5" t="str">
        <f>IF(A951="","",IF(I951&lt;=0,"Sold out",IF(K951&gt;=Inputs!$B$18,"Dead",IF(K951&gt;=Inputs!$B$17,"Ageing",IF(K951&gt;=Inputs!$B$16,"Watch","Fresh")))))</f>
        <v/>
      </c>
      <c r="M951" s="5" t="str">
        <f t="shared" si="72"/>
        <v/>
      </c>
      <c r="N951" s="12" t="str">
        <f t="shared" si="73"/>
        <v/>
      </c>
      <c r="O951" s="36" t="str">
        <f t="shared" si="74"/>
        <v/>
      </c>
    </row>
    <row r="952" spans="1:15" x14ac:dyDescent="0.25">
      <c r="A952" s="34"/>
      <c r="B952" s="33"/>
      <c r="C952" s="34"/>
      <c r="D952" s="34"/>
      <c r="E952" s="34"/>
      <c r="F952" s="34"/>
      <c r="G952" s="35"/>
      <c r="H952" s="34"/>
      <c r="I952" s="5" t="str">
        <f t="shared" si="70"/>
        <v/>
      </c>
      <c r="J952" s="12" t="str">
        <f t="shared" si="71"/>
        <v/>
      </c>
      <c r="K952" s="37" t="str">
        <f>IF(A952="","",Inputs!$B$11-B952)</f>
        <v/>
      </c>
      <c r="L952" s="5" t="str">
        <f>IF(A952="","",IF(I952&lt;=0,"Sold out",IF(K952&gt;=Inputs!$B$18,"Dead",IF(K952&gt;=Inputs!$B$17,"Ageing",IF(K952&gt;=Inputs!$B$16,"Watch","Fresh")))))</f>
        <v/>
      </c>
      <c r="M952" s="5" t="str">
        <f t="shared" si="72"/>
        <v/>
      </c>
      <c r="N952" s="12" t="str">
        <f t="shared" si="73"/>
        <v/>
      </c>
      <c r="O952" s="36" t="str">
        <f t="shared" si="74"/>
        <v/>
      </c>
    </row>
    <row r="953" spans="1:15" x14ac:dyDescent="0.25">
      <c r="A953" s="34"/>
      <c r="B953" s="33"/>
      <c r="C953" s="34"/>
      <c r="D953" s="34"/>
      <c r="E953" s="34"/>
      <c r="F953" s="34"/>
      <c r="G953" s="35"/>
      <c r="H953" s="34"/>
      <c r="I953" s="5" t="str">
        <f t="shared" si="70"/>
        <v/>
      </c>
      <c r="J953" s="12" t="str">
        <f t="shared" si="71"/>
        <v/>
      </c>
      <c r="K953" s="37" t="str">
        <f>IF(A953="","",Inputs!$B$11-B953)</f>
        <v/>
      </c>
      <c r="L953" s="5" t="str">
        <f>IF(A953="","",IF(I953&lt;=0,"Sold out",IF(K953&gt;=Inputs!$B$18,"Dead",IF(K953&gt;=Inputs!$B$17,"Ageing",IF(K953&gt;=Inputs!$B$16,"Watch","Fresh")))))</f>
        <v/>
      </c>
      <c r="M953" s="5" t="str">
        <f t="shared" si="72"/>
        <v/>
      </c>
      <c r="N953" s="12" t="str">
        <f t="shared" si="73"/>
        <v/>
      </c>
      <c r="O953" s="36" t="str">
        <f t="shared" si="74"/>
        <v/>
      </c>
    </row>
    <row r="954" spans="1:15" x14ac:dyDescent="0.25">
      <c r="A954" s="34"/>
      <c r="B954" s="33"/>
      <c r="C954" s="34"/>
      <c r="D954" s="34"/>
      <c r="E954" s="34"/>
      <c r="F954" s="34"/>
      <c r="G954" s="35"/>
      <c r="H954" s="34"/>
      <c r="I954" s="5" t="str">
        <f t="shared" si="70"/>
        <v/>
      </c>
      <c r="J954" s="12" t="str">
        <f t="shared" si="71"/>
        <v/>
      </c>
      <c r="K954" s="37" t="str">
        <f>IF(A954="","",Inputs!$B$11-B954)</f>
        <v/>
      </c>
      <c r="L954" s="5" t="str">
        <f>IF(A954="","",IF(I954&lt;=0,"Sold out",IF(K954&gt;=Inputs!$B$18,"Dead",IF(K954&gt;=Inputs!$B$17,"Ageing",IF(K954&gt;=Inputs!$B$16,"Watch","Fresh")))))</f>
        <v/>
      </c>
      <c r="M954" s="5" t="str">
        <f t="shared" si="72"/>
        <v/>
      </c>
      <c r="N954" s="12" t="str">
        <f t="shared" si="73"/>
        <v/>
      </c>
      <c r="O954" s="36" t="str">
        <f t="shared" si="74"/>
        <v/>
      </c>
    </row>
    <row r="955" spans="1:15" x14ac:dyDescent="0.25">
      <c r="A955" s="34"/>
      <c r="B955" s="33"/>
      <c r="C955" s="34"/>
      <c r="D955" s="34"/>
      <c r="E955" s="34"/>
      <c r="F955" s="34"/>
      <c r="G955" s="35"/>
      <c r="H955" s="34"/>
      <c r="I955" s="5" t="str">
        <f t="shared" si="70"/>
        <v/>
      </c>
      <c r="J955" s="12" t="str">
        <f t="shared" si="71"/>
        <v/>
      </c>
      <c r="K955" s="37" t="str">
        <f>IF(A955="","",Inputs!$B$11-B955)</f>
        <v/>
      </c>
      <c r="L955" s="5" t="str">
        <f>IF(A955="","",IF(I955&lt;=0,"Sold out",IF(K955&gt;=Inputs!$B$18,"Dead",IF(K955&gt;=Inputs!$B$17,"Ageing",IF(K955&gt;=Inputs!$B$16,"Watch","Fresh")))))</f>
        <v/>
      </c>
      <c r="M955" s="5" t="str">
        <f t="shared" si="72"/>
        <v/>
      </c>
      <c r="N955" s="12" t="str">
        <f t="shared" si="73"/>
        <v/>
      </c>
      <c r="O955" s="36" t="str">
        <f t="shared" si="74"/>
        <v/>
      </c>
    </row>
    <row r="956" spans="1:15" x14ac:dyDescent="0.25">
      <c r="A956" s="34"/>
      <c r="B956" s="33"/>
      <c r="C956" s="34"/>
      <c r="D956" s="34"/>
      <c r="E956" s="34"/>
      <c r="F956" s="34"/>
      <c r="G956" s="35"/>
      <c r="H956" s="34"/>
      <c r="I956" s="5" t="str">
        <f t="shared" si="70"/>
        <v/>
      </c>
      <c r="J956" s="12" t="str">
        <f t="shared" si="71"/>
        <v/>
      </c>
      <c r="K956" s="37" t="str">
        <f>IF(A956="","",Inputs!$B$11-B956)</f>
        <v/>
      </c>
      <c r="L956" s="5" t="str">
        <f>IF(A956="","",IF(I956&lt;=0,"Sold out",IF(K956&gt;=Inputs!$B$18,"Dead",IF(K956&gt;=Inputs!$B$17,"Ageing",IF(K956&gt;=Inputs!$B$16,"Watch","Fresh")))))</f>
        <v/>
      </c>
      <c r="M956" s="5" t="str">
        <f t="shared" si="72"/>
        <v/>
      </c>
      <c r="N956" s="12" t="str">
        <f t="shared" si="73"/>
        <v/>
      </c>
      <c r="O956" s="36" t="str">
        <f t="shared" si="74"/>
        <v/>
      </c>
    </row>
    <row r="957" spans="1:15" x14ac:dyDescent="0.25">
      <c r="A957" s="34"/>
      <c r="B957" s="33"/>
      <c r="C957" s="34"/>
      <c r="D957" s="34"/>
      <c r="E957" s="34"/>
      <c r="F957" s="34"/>
      <c r="G957" s="35"/>
      <c r="H957" s="34"/>
      <c r="I957" s="5" t="str">
        <f t="shared" si="70"/>
        <v/>
      </c>
      <c r="J957" s="12" t="str">
        <f t="shared" si="71"/>
        <v/>
      </c>
      <c r="K957" s="37" t="str">
        <f>IF(A957="","",Inputs!$B$11-B957)</f>
        <v/>
      </c>
      <c r="L957" s="5" t="str">
        <f>IF(A957="","",IF(I957&lt;=0,"Sold out",IF(K957&gt;=Inputs!$B$18,"Dead",IF(K957&gt;=Inputs!$B$17,"Ageing",IF(K957&gt;=Inputs!$B$16,"Watch","Fresh")))))</f>
        <v/>
      </c>
      <c r="M957" s="5" t="str">
        <f t="shared" si="72"/>
        <v/>
      </c>
      <c r="N957" s="12" t="str">
        <f t="shared" si="73"/>
        <v/>
      </c>
      <c r="O957" s="36" t="str">
        <f t="shared" si="74"/>
        <v/>
      </c>
    </row>
    <row r="958" spans="1:15" x14ac:dyDescent="0.25">
      <c r="A958" s="34"/>
      <c r="B958" s="33"/>
      <c r="C958" s="34"/>
      <c r="D958" s="34"/>
      <c r="E958" s="34"/>
      <c r="F958" s="34"/>
      <c r="G958" s="35"/>
      <c r="H958" s="34"/>
      <c r="I958" s="5" t="str">
        <f t="shared" si="70"/>
        <v/>
      </c>
      <c r="J958" s="12" t="str">
        <f t="shared" si="71"/>
        <v/>
      </c>
      <c r="K958" s="37" t="str">
        <f>IF(A958="","",Inputs!$B$11-B958)</f>
        <v/>
      </c>
      <c r="L958" s="5" t="str">
        <f>IF(A958="","",IF(I958&lt;=0,"Sold out",IF(K958&gt;=Inputs!$B$18,"Dead",IF(K958&gt;=Inputs!$B$17,"Ageing",IF(K958&gt;=Inputs!$B$16,"Watch","Fresh")))))</f>
        <v/>
      </c>
      <c r="M958" s="5" t="str">
        <f t="shared" si="72"/>
        <v/>
      </c>
      <c r="N958" s="12" t="str">
        <f t="shared" si="73"/>
        <v/>
      </c>
      <c r="O958" s="36" t="str">
        <f t="shared" si="74"/>
        <v/>
      </c>
    </row>
    <row r="959" spans="1:15" x14ac:dyDescent="0.25">
      <c r="A959" s="34"/>
      <c r="B959" s="33"/>
      <c r="C959" s="34"/>
      <c r="D959" s="34"/>
      <c r="E959" s="34"/>
      <c r="F959" s="34"/>
      <c r="G959" s="35"/>
      <c r="H959" s="34"/>
      <c r="I959" s="5" t="str">
        <f t="shared" si="70"/>
        <v/>
      </c>
      <c r="J959" s="12" t="str">
        <f t="shared" si="71"/>
        <v/>
      </c>
      <c r="K959" s="37" t="str">
        <f>IF(A959="","",Inputs!$B$11-B959)</f>
        <v/>
      </c>
      <c r="L959" s="5" t="str">
        <f>IF(A959="","",IF(I959&lt;=0,"Sold out",IF(K959&gt;=Inputs!$B$18,"Dead",IF(K959&gt;=Inputs!$B$17,"Ageing",IF(K959&gt;=Inputs!$B$16,"Watch","Fresh")))))</f>
        <v/>
      </c>
      <c r="M959" s="5" t="str">
        <f t="shared" si="72"/>
        <v/>
      </c>
      <c r="N959" s="12" t="str">
        <f t="shared" si="73"/>
        <v/>
      </c>
      <c r="O959" s="36" t="str">
        <f t="shared" si="74"/>
        <v/>
      </c>
    </row>
    <row r="960" spans="1:15" x14ac:dyDescent="0.25">
      <c r="A960" s="34"/>
      <c r="B960" s="33"/>
      <c r="C960" s="34"/>
      <c r="D960" s="34"/>
      <c r="E960" s="34"/>
      <c r="F960" s="34"/>
      <c r="G960" s="35"/>
      <c r="H960" s="34"/>
      <c r="I960" s="5" t="str">
        <f t="shared" si="70"/>
        <v/>
      </c>
      <c r="J960" s="12" t="str">
        <f t="shared" si="71"/>
        <v/>
      </c>
      <c r="K960" s="37" t="str">
        <f>IF(A960="","",Inputs!$B$11-B960)</f>
        <v/>
      </c>
      <c r="L960" s="5" t="str">
        <f>IF(A960="","",IF(I960&lt;=0,"Sold out",IF(K960&gt;=Inputs!$B$18,"Dead",IF(K960&gt;=Inputs!$B$17,"Ageing",IF(K960&gt;=Inputs!$B$16,"Watch","Fresh")))))</f>
        <v/>
      </c>
      <c r="M960" s="5" t="str">
        <f t="shared" si="72"/>
        <v/>
      </c>
      <c r="N960" s="12" t="str">
        <f t="shared" si="73"/>
        <v/>
      </c>
      <c r="O960" s="36" t="str">
        <f t="shared" si="74"/>
        <v/>
      </c>
    </row>
    <row r="961" spans="1:15" x14ac:dyDescent="0.25">
      <c r="A961" s="34"/>
      <c r="B961" s="33"/>
      <c r="C961" s="34"/>
      <c r="D961" s="34"/>
      <c r="E961" s="34"/>
      <c r="F961" s="34"/>
      <c r="G961" s="35"/>
      <c r="H961" s="34"/>
      <c r="I961" s="5" t="str">
        <f t="shared" si="70"/>
        <v/>
      </c>
      <c r="J961" s="12" t="str">
        <f t="shared" si="71"/>
        <v/>
      </c>
      <c r="K961" s="37" t="str">
        <f>IF(A961="","",Inputs!$B$11-B961)</f>
        <v/>
      </c>
      <c r="L961" s="5" t="str">
        <f>IF(A961="","",IF(I961&lt;=0,"Sold out",IF(K961&gt;=Inputs!$B$18,"Dead",IF(K961&gt;=Inputs!$B$17,"Ageing",IF(K961&gt;=Inputs!$B$16,"Watch","Fresh")))))</f>
        <v/>
      </c>
      <c r="M961" s="5" t="str">
        <f t="shared" si="72"/>
        <v/>
      </c>
      <c r="N961" s="12" t="str">
        <f t="shared" si="73"/>
        <v/>
      </c>
      <c r="O961" s="36" t="str">
        <f t="shared" si="74"/>
        <v/>
      </c>
    </row>
    <row r="962" spans="1:15" x14ac:dyDescent="0.25">
      <c r="A962" s="34"/>
      <c r="B962" s="33"/>
      <c r="C962" s="34"/>
      <c r="D962" s="34"/>
      <c r="E962" s="34"/>
      <c r="F962" s="34"/>
      <c r="G962" s="35"/>
      <c r="H962" s="34"/>
      <c r="I962" s="5" t="str">
        <f t="shared" si="70"/>
        <v/>
      </c>
      <c r="J962" s="12" t="str">
        <f t="shared" si="71"/>
        <v/>
      </c>
      <c r="K962" s="37" t="str">
        <f>IF(A962="","",Inputs!$B$11-B962)</f>
        <v/>
      </c>
      <c r="L962" s="5" t="str">
        <f>IF(A962="","",IF(I962&lt;=0,"Sold out",IF(K962&gt;=Inputs!$B$18,"Dead",IF(K962&gt;=Inputs!$B$17,"Ageing",IF(K962&gt;=Inputs!$B$16,"Watch","Fresh")))))</f>
        <v/>
      </c>
      <c r="M962" s="5" t="str">
        <f t="shared" si="72"/>
        <v/>
      </c>
      <c r="N962" s="12" t="str">
        <f t="shared" si="73"/>
        <v/>
      </c>
      <c r="O962" s="36" t="str">
        <f t="shared" si="74"/>
        <v/>
      </c>
    </row>
    <row r="963" spans="1:15" x14ac:dyDescent="0.25">
      <c r="A963" s="34"/>
      <c r="B963" s="33"/>
      <c r="C963" s="34"/>
      <c r="D963" s="34"/>
      <c r="E963" s="34"/>
      <c r="F963" s="34"/>
      <c r="G963" s="35"/>
      <c r="H963" s="34"/>
      <c r="I963" s="5" t="str">
        <f t="shared" si="70"/>
        <v/>
      </c>
      <c r="J963" s="12" t="str">
        <f t="shared" si="71"/>
        <v/>
      </c>
      <c r="K963" s="37" t="str">
        <f>IF(A963="","",Inputs!$B$11-B963)</f>
        <v/>
      </c>
      <c r="L963" s="5" t="str">
        <f>IF(A963="","",IF(I963&lt;=0,"Sold out",IF(K963&gt;=Inputs!$B$18,"Dead",IF(K963&gt;=Inputs!$B$17,"Ageing",IF(K963&gt;=Inputs!$B$16,"Watch","Fresh")))))</f>
        <v/>
      </c>
      <c r="M963" s="5" t="str">
        <f t="shared" si="72"/>
        <v/>
      </c>
      <c r="N963" s="12" t="str">
        <f t="shared" si="73"/>
        <v/>
      </c>
      <c r="O963" s="36" t="str">
        <f t="shared" si="74"/>
        <v/>
      </c>
    </row>
    <row r="964" spans="1:15" x14ac:dyDescent="0.25">
      <c r="A964" s="34"/>
      <c r="B964" s="33"/>
      <c r="C964" s="34"/>
      <c r="D964" s="34"/>
      <c r="E964" s="34"/>
      <c r="F964" s="34"/>
      <c r="G964" s="35"/>
      <c r="H964" s="34"/>
      <c r="I964" s="5" t="str">
        <f t="shared" si="70"/>
        <v/>
      </c>
      <c r="J964" s="12" t="str">
        <f t="shared" si="71"/>
        <v/>
      </c>
      <c r="K964" s="37" t="str">
        <f>IF(A964="","",Inputs!$B$11-B964)</f>
        <v/>
      </c>
      <c r="L964" s="5" t="str">
        <f>IF(A964="","",IF(I964&lt;=0,"Sold out",IF(K964&gt;=Inputs!$B$18,"Dead",IF(K964&gt;=Inputs!$B$17,"Ageing",IF(K964&gt;=Inputs!$B$16,"Watch","Fresh")))))</f>
        <v/>
      </c>
      <c r="M964" s="5" t="str">
        <f t="shared" si="72"/>
        <v/>
      </c>
      <c r="N964" s="12" t="str">
        <f t="shared" si="73"/>
        <v/>
      </c>
      <c r="O964" s="36" t="str">
        <f t="shared" si="74"/>
        <v/>
      </c>
    </row>
    <row r="965" spans="1:15" x14ac:dyDescent="0.25">
      <c r="A965" s="34"/>
      <c r="B965" s="33"/>
      <c r="C965" s="34"/>
      <c r="D965" s="34"/>
      <c r="E965" s="34"/>
      <c r="F965" s="34"/>
      <c r="G965" s="35"/>
      <c r="H965" s="34"/>
      <c r="I965" s="5" t="str">
        <f t="shared" si="70"/>
        <v/>
      </c>
      <c r="J965" s="12" t="str">
        <f t="shared" si="71"/>
        <v/>
      </c>
      <c r="K965" s="37" t="str">
        <f>IF(A965="","",Inputs!$B$11-B965)</f>
        <v/>
      </c>
      <c r="L965" s="5" t="str">
        <f>IF(A965="","",IF(I965&lt;=0,"Sold out",IF(K965&gt;=Inputs!$B$18,"Dead",IF(K965&gt;=Inputs!$B$17,"Ageing",IF(K965&gt;=Inputs!$B$16,"Watch","Fresh")))))</f>
        <v/>
      </c>
      <c r="M965" s="5" t="str">
        <f t="shared" si="72"/>
        <v/>
      </c>
      <c r="N965" s="12" t="str">
        <f t="shared" si="73"/>
        <v/>
      </c>
      <c r="O965" s="36" t="str">
        <f t="shared" si="74"/>
        <v/>
      </c>
    </row>
    <row r="966" spans="1:15" x14ac:dyDescent="0.25">
      <c r="A966" s="34"/>
      <c r="B966" s="33"/>
      <c r="C966" s="34"/>
      <c r="D966" s="34"/>
      <c r="E966" s="34"/>
      <c r="F966" s="34"/>
      <c r="G966" s="35"/>
      <c r="H966" s="34"/>
      <c r="I966" s="5" t="str">
        <f t="shared" ref="I966:I1005" si="75">IF(A966="","",F966-H966)</f>
        <v/>
      </c>
      <c r="J966" s="12" t="str">
        <f t="shared" ref="J966:J1005" si="76">IF(A966="","",I966*G966)</f>
        <v/>
      </c>
      <c r="K966" s="37" t="str">
        <f>IF(A966="","",Inputs!$B$11-B966)</f>
        <v/>
      </c>
      <c r="L966" s="5" t="str">
        <f>IF(A966="","",IF(I966&lt;=0,"Sold out",IF(K966&gt;=Inputs!$B$18,"Dead",IF(K966&gt;=Inputs!$B$17,"Ageing",IF(K966&gt;=Inputs!$B$16,"Watch","Fresh")))))</f>
        <v/>
      </c>
      <c r="M966" s="5" t="str">
        <f t="shared" ref="M966:M1005" si="77">IF(L966="","",IF(L966="Dead","Clearance / exchange with vendor",IF(L966="Ageing","Markdown 20-30%",IF(L966="Watch","Push in reels &amp; WhatsApp broadcast",IF(L966="Fresh","OK","-")))))</f>
        <v/>
      </c>
      <c r="N966" s="12" t="str">
        <f t="shared" ref="N966:N1005" si="78">IF(A966="","",F966*G966)</f>
        <v/>
      </c>
      <c r="O966" s="36" t="str">
        <f t="shared" ref="O966:O1005" si="79">IF(B966="","",DATE(YEAR(B966),MONTH(B966),1))</f>
        <v/>
      </c>
    </row>
    <row r="967" spans="1:15" x14ac:dyDescent="0.25">
      <c r="A967" s="34"/>
      <c r="B967" s="33"/>
      <c r="C967" s="34"/>
      <c r="D967" s="34"/>
      <c r="E967" s="34"/>
      <c r="F967" s="34"/>
      <c r="G967" s="35"/>
      <c r="H967" s="34"/>
      <c r="I967" s="5" t="str">
        <f t="shared" si="75"/>
        <v/>
      </c>
      <c r="J967" s="12" t="str">
        <f t="shared" si="76"/>
        <v/>
      </c>
      <c r="K967" s="37" t="str">
        <f>IF(A967="","",Inputs!$B$11-B967)</f>
        <v/>
      </c>
      <c r="L967" s="5" t="str">
        <f>IF(A967="","",IF(I967&lt;=0,"Sold out",IF(K967&gt;=Inputs!$B$18,"Dead",IF(K967&gt;=Inputs!$B$17,"Ageing",IF(K967&gt;=Inputs!$B$16,"Watch","Fresh")))))</f>
        <v/>
      </c>
      <c r="M967" s="5" t="str">
        <f t="shared" si="77"/>
        <v/>
      </c>
      <c r="N967" s="12" t="str">
        <f t="shared" si="78"/>
        <v/>
      </c>
      <c r="O967" s="36" t="str">
        <f t="shared" si="79"/>
        <v/>
      </c>
    </row>
    <row r="968" spans="1:15" x14ac:dyDescent="0.25">
      <c r="A968" s="34"/>
      <c r="B968" s="33"/>
      <c r="C968" s="34"/>
      <c r="D968" s="34"/>
      <c r="E968" s="34"/>
      <c r="F968" s="34"/>
      <c r="G968" s="35"/>
      <c r="H968" s="34"/>
      <c r="I968" s="5" t="str">
        <f t="shared" si="75"/>
        <v/>
      </c>
      <c r="J968" s="12" t="str">
        <f t="shared" si="76"/>
        <v/>
      </c>
      <c r="K968" s="37" t="str">
        <f>IF(A968="","",Inputs!$B$11-B968)</f>
        <v/>
      </c>
      <c r="L968" s="5" t="str">
        <f>IF(A968="","",IF(I968&lt;=0,"Sold out",IF(K968&gt;=Inputs!$B$18,"Dead",IF(K968&gt;=Inputs!$B$17,"Ageing",IF(K968&gt;=Inputs!$B$16,"Watch","Fresh")))))</f>
        <v/>
      </c>
      <c r="M968" s="5" t="str">
        <f t="shared" si="77"/>
        <v/>
      </c>
      <c r="N968" s="12" t="str">
        <f t="shared" si="78"/>
        <v/>
      </c>
      <c r="O968" s="36" t="str">
        <f t="shared" si="79"/>
        <v/>
      </c>
    </row>
    <row r="969" spans="1:15" x14ac:dyDescent="0.25">
      <c r="A969" s="34"/>
      <c r="B969" s="33"/>
      <c r="C969" s="34"/>
      <c r="D969" s="34"/>
      <c r="E969" s="34"/>
      <c r="F969" s="34"/>
      <c r="G969" s="35"/>
      <c r="H969" s="34"/>
      <c r="I969" s="5" t="str">
        <f t="shared" si="75"/>
        <v/>
      </c>
      <c r="J969" s="12" t="str">
        <f t="shared" si="76"/>
        <v/>
      </c>
      <c r="K969" s="37" t="str">
        <f>IF(A969="","",Inputs!$B$11-B969)</f>
        <v/>
      </c>
      <c r="L969" s="5" t="str">
        <f>IF(A969="","",IF(I969&lt;=0,"Sold out",IF(K969&gt;=Inputs!$B$18,"Dead",IF(K969&gt;=Inputs!$B$17,"Ageing",IF(K969&gt;=Inputs!$B$16,"Watch","Fresh")))))</f>
        <v/>
      </c>
      <c r="M969" s="5" t="str">
        <f t="shared" si="77"/>
        <v/>
      </c>
      <c r="N969" s="12" t="str">
        <f t="shared" si="78"/>
        <v/>
      </c>
      <c r="O969" s="36" t="str">
        <f t="shared" si="79"/>
        <v/>
      </c>
    </row>
    <row r="970" spans="1:15" x14ac:dyDescent="0.25">
      <c r="A970" s="34"/>
      <c r="B970" s="33"/>
      <c r="C970" s="34"/>
      <c r="D970" s="34"/>
      <c r="E970" s="34"/>
      <c r="F970" s="34"/>
      <c r="G970" s="35"/>
      <c r="H970" s="34"/>
      <c r="I970" s="5" t="str">
        <f t="shared" si="75"/>
        <v/>
      </c>
      <c r="J970" s="12" t="str">
        <f t="shared" si="76"/>
        <v/>
      </c>
      <c r="K970" s="37" t="str">
        <f>IF(A970="","",Inputs!$B$11-B970)</f>
        <v/>
      </c>
      <c r="L970" s="5" t="str">
        <f>IF(A970="","",IF(I970&lt;=0,"Sold out",IF(K970&gt;=Inputs!$B$18,"Dead",IF(K970&gt;=Inputs!$B$17,"Ageing",IF(K970&gt;=Inputs!$B$16,"Watch","Fresh")))))</f>
        <v/>
      </c>
      <c r="M970" s="5" t="str">
        <f t="shared" si="77"/>
        <v/>
      </c>
      <c r="N970" s="12" t="str">
        <f t="shared" si="78"/>
        <v/>
      </c>
      <c r="O970" s="36" t="str">
        <f t="shared" si="79"/>
        <v/>
      </c>
    </row>
    <row r="971" spans="1:15" x14ac:dyDescent="0.25">
      <c r="A971" s="34"/>
      <c r="B971" s="33"/>
      <c r="C971" s="34"/>
      <c r="D971" s="34"/>
      <c r="E971" s="34"/>
      <c r="F971" s="34"/>
      <c r="G971" s="35"/>
      <c r="H971" s="34"/>
      <c r="I971" s="5" t="str">
        <f t="shared" si="75"/>
        <v/>
      </c>
      <c r="J971" s="12" t="str">
        <f t="shared" si="76"/>
        <v/>
      </c>
      <c r="K971" s="37" t="str">
        <f>IF(A971="","",Inputs!$B$11-B971)</f>
        <v/>
      </c>
      <c r="L971" s="5" t="str">
        <f>IF(A971="","",IF(I971&lt;=0,"Sold out",IF(K971&gt;=Inputs!$B$18,"Dead",IF(K971&gt;=Inputs!$B$17,"Ageing",IF(K971&gt;=Inputs!$B$16,"Watch","Fresh")))))</f>
        <v/>
      </c>
      <c r="M971" s="5" t="str">
        <f t="shared" si="77"/>
        <v/>
      </c>
      <c r="N971" s="12" t="str">
        <f t="shared" si="78"/>
        <v/>
      </c>
      <c r="O971" s="36" t="str">
        <f t="shared" si="79"/>
        <v/>
      </c>
    </row>
    <row r="972" spans="1:15" x14ac:dyDescent="0.25">
      <c r="A972" s="34"/>
      <c r="B972" s="33"/>
      <c r="C972" s="34"/>
      <c r="D972" s="34"/>
      <c r="E972" s="34"/>
      <c r="F972" s="34"/>
      <c r="G972" s="35"/>
      <c r="H972" s="34"/>
      <c r="I972" s="5" t="str">
        <f t="shared" si="75"/>
        <v/>
      </c>
      <c r="J972" s="12" t="str">
        <f t="shared" si="76"/>
        <v/>
      </c>
      <c r="K972" s="37" t="str">
        <f>IF(A972="","",Inputs!$B$11-B972)</f>
        <v/>
      </c>
      <c r="L972" s="5" t="str">
        <f>IF(A972="","",IF(I972&lt;=0,"Sold out",IF(K972&gt;=Inputs!$B$18,"Dead",IF(K972&gt;=Inputs!$B$17,"Ageing",IF(K972&gt;=Inputs!$B$16,"Watch","Fresh")))))</f>
        <v/>
      </c>
      <c r="M972" s="5" t="str">
        <f t="shared" si="77"/>
        <v/>
      </c>
      <c r="N972" s="12" t="str">
        <f t="shared" si="78"/>
        <v/>
      </c>
      <c r="O972" s="36" t="str">
        <f t="shared" si="79"/>
        <v/>
      </c>
    </row>
    <row r="973" spans="1:15" x14ac:dyDescent="0.25">
      <c r="A973" s="34"/>
      <c r="B973" s="33"/>
      <c r="C973" s="34"/>
      <c r="D973" s="34"/>
      <c r="E973" s="34"/>
      <c r="F973" s="34"/>
      <c r="G973" s="35"/>
      <c r="H973" s="34"/>
      <c r="I973" s="5" t="str">
        <f t="shared" si="75"/>
        <v/>
      </c>
      <c r="J973" s="12" t="str">
        <f t="shared" si="76"/>
        <v/>
      </c>
      <c r="K973" s="37" t="str">
        <f>IF(A973="","",Inputs!$B$11-B973)</f>
        <v/>
      </c>
      <c r="L973" s="5" t="str">
        <f>IF(A973="","",IF(I973&lt;=0,"Sold out",IF(K973&gt;=Inputs!$B$18,"Dead",IF(K973&gt;=Inputs!$B$17,"Ageing",IF(K973&gt;=Inputs!$B$16,"Watch","Fresh")))))</f>
        <v/>
      </c>
      <c r="M973" s="5" t="str">
        <f t="shared" si="77"/>
        <v/>
      </c>
      <c r="N973" s="12" t="str">
        <f t="shared" si="78"/>
        <v/>
      </c>
      <c r="O973" s="36" t="str">
        <f t="shared" si="79"/>
        <v/>
      </c>
    </row>
    <row r="974" spans="1:15" x14ac:dyDescent="0.25">
      <c r="A974" s="34"/>
      <c r="B974" s="33"/>
      <c r="C974" s="34"/>
      <c r="D974" s="34"/>
      <c r="E974" s="34"/>
      <c r="F974" s="34"/>
      <c r="G974" s="35"/>
      <c r="H974" s="34"/>
      <c r="I974" s="5" t="str">
        <f t="shared" si="75"/>
        <v/>
      </c>
      <c r="J974" s="12" t="str">
        <f t="shared" si="76"/>
        <v/>
      </c>
      <c r="K974" s="37" t="str">
        <f>IF(A974="","",Inputs!$B$11-B974)</f>
        <v/>
      </c>
      <c r="L974" s="5" t="str">
        <f>IF(A974="","",IF(I974&lt;=0,"Sold out",IF(K974&gt;=Inputs!$B$18,"Dead",IF(K974&gt;=Inputs!$B$17,"Ageing",IF(K974&gt;=Inputs!$B$16,"Watch","Fresh")))))</f>
        <v/>
      </c>
      <c r="M974" s="5" t="str">
        <f t="shared" si="77"/>
        <v/>
      </c>
      <c r="N974" s="12" t="str">
        <f t="shared" si="78"/>
        <v/>
      </c>
      <c r="O974" s="36" t="str">
        <f t="shared" si="79"/>
        <v/>
      </c>
    </row>
    <row r="975" spans="1:15" x14ac:dyDescent="0.25">
      <c r="A975" s="34"/>
      <c r="B975" s="33"/>
      <c r="C975" s="34"/>
      <c r="D975" s="34"/>
      <c r="E975" s="34"/>
      <c r="F975" s="34"/>
      <c r="G975" s="35"/>
      <c r="H975" s="34"/>
      <c r="I975" s="5" t="str">
        <f t="shared" si="75"/>
        <v/>
      </c>
      <c r="J975" s="12" t="str">
        <f t="shared" si="76"/>
        <v/>
      </c>
      <c r="K975" s="37" t="str">
        <f>IF(A975="","",Inputs!$B$11-B975)</f>
        <v/>
      </c>
      <c r="L975" s="5" t="str">
        <f>IF(A975="","",IF(I975&lt;=0,"Sold out",IF(K975&gt;=Inputs!$B$18,"Dead",IF(K975&gt;=Inputs!$B$17,"Ageing",IF(K975&gt;=Inputs!$B$16,"Watch","Fresh")))))</f>
        <v/>
      </c>
      <c r="M975" s="5" t="str">
        <f t="shared" si="77"/>
        <v/>
      </c>
      <c r="N975" s="12" t="str">
        <f t="shared" si="78"/>
        <v/>
      </c>
      <c r="O975" s="36" t="str">
        <f t="shared" si="79"/>
        <v/>
      </c>
    </row>
    <row r="976" spans="1:15" x14ac:dyDescent="0.25">
      <c r="A976" s="34"/>
      <c r="B976" s="33"/>
      <c r="C976" s="34"/>
      <c r="D976" s="34"/>
      <c r="E976" s="34"/>
      <c r="F976" s="34"/>
      <c r="G976" s="35"/>
      <c r="H976" s="34"/>
      <c r="I976" s="5" t="str">
        <f t="shared" si="75"/>
        <v/>
      </c>
      <c r="J976" s="12" t="str">
        <f t="shared" si="76"/>
        <v/>
      </c>
      <c r="K976" s="37" t="str">
        <f>IF(A976="","",Inputs!$B$11-B976)</f>
        <v/>
      </c>
      <c r="L976" s="5" t="str">
        <f>IF(A976="","",IF(I976&lt;=0,"Sold out",IF(K976&gt;=Inputs!$B$18,"Dead",IF(K976&gt;=Inputs!$B$17,"Ageing",IF(K976&gt;=Inputs!$B$16,"Watch","Fresh")))))</f>
        <v/>
      </c>
      <c r="M976" s="5" t="str">
        <f t="shared" si="77"/>
        <v/>
      </c>
      <c r="N976" s="12" t="str">
        <f t="shared" si="78"/>
        <v/>
      </c>
      <c r="O976" s="36" t="str">
        <f t="shared" si="79"/>
        <v/>
      </c>
    </row>
    <row r="977" spans="1:15" x14ac:dyDescent="0.25">
      <c r="A977" s="34"/>
      <c r="B977" s="33"/>
      <c r="C977" s="34"/>
      <c r="D977" s="34"/>
      <c r="E977" s="34"/>
      <c r="F977" s="34"/>
      <c r="G977" s="35"/>
      <c r="H977" s="34"/>
      <c r="I977" s="5" t="str">
        <f t="shared" si="75"/>
        <v/>
      </c>
      <c r="J977" s="12" t="str">
        <f t="shared" si="76"/>
        <v/>
      </c>
      <c r="K977" s="37" t="str">
        <f>IF(A977="","",Inputs!$B$11-B977)</f>
        <v/>
      </c>
      <c r="L977" s="5" t="str">
        <f>IF(A977="","",IF(I977&lt;=0,"Sold out",IF(K977&gt;=Inputs!$B$18,"Dead",IF(K977&gt;=Inputs!$B$17,"Ageing",IF(K977&gt;=Inputs!$B$16,"Watch","Fresh")))))</f>
        <v/>
      </c>
      <c r="M977" s="5" t="str">
        <f t="shared" si="77"/>
        <v/>
      </c>
      <c r="N977" s="12" t="str">
        <f t="shared" si="78"/>
        <v/>
      </c>
      <c r="O977" s="36" t="str">
        <f t="shared" si="79"/>
        <v/>
      </c>
    </row>
    <row r="978" spans="1:15" x14ac:dyDescent="0.25">
      <c r="A978" s="34"/>
      <c r="B978" s="33"/>
      <c r="C978" s="34"/>
      <c r="D978" s="34"/>
      <c r="E978" s="34"/>
      <c r="F978" s="34"/>
      <c r="G978" s="35"/>
      <c r="H978" s="34"/>
      <c r="I978" s="5" t="str">
        <f t="shared" si="75"/>
        <v/>
      </c>
      <c r="J978" s="12" t="str">
        <f t="shared" si="76"/>
        <v/>
      </c>
      <c r="K978" s="37" t="str">
        <f>IF(A978="","",Inputs!$B$11-B978)</f>
        <v/>
      </c>
      <c r="L978" s="5" t="str">
        <f>IF(A978="","",IF(I978&lt;=0,"Sold out",IF(K978&gt;=Inputs!$B$18,"Dead",IF(K978&gt;=Inputs!$B$17,"Ageing",IF(K978&gt;=Inputs!$B$16,"Watch","Fresh")))))</f>
        <v/>
      </c>
      <c r="M978" s="5" t="str">
        <f t="shared" si="77"/>
        <v/>
      </c>
      <c r="N978" s="12" t="str">
        <f t="shared" si="78"/>
        <v/>
      </c>
      <c r="O978" s="36" t="str">
        <f t="shared" si="79"/>
        <v/>
      </c>
    </row>
    <row r="979" spans="1:15" x14ac:dyDescent="0.25">
      <c r="A979" s="34"/>
      <c r="B979" s="33"/>
      <c r="C979" s="34"/>
      <c r="D979" s="34"/>
      <c r="E979" s="34"/>
      <c r="F979" s="34"/>
      <c r="G979" s="35"/>
      <c r="H979" s="34"/>
      <c r="I979" s="5" t="str">
        <f t="shared" si="75"/>
        <v/>
      </c>
      <c r="J979" s="12" t="str">
        <f t="shared" si="76"/>
        <v/>
      </c>
      <c r="K979" s="37" t="str">
        <f>IF(A979="","",Inputs!$B$11-B979)</f>
        <v/>
      </c>
      <c r="L979" s="5" t="str">
        <f>IF(A979="","",IF(I979&lt;=0,"Sold out",IF(K979&gt;=Inputs!$B$18,"Dead",IF(K979&gt;=Inputs!$B$17,"Ageing",IF(K979&gt;=Inputs!$B$16,"Watch","Fresh")))))</f>
        <v/>
      </c>
      <c r="M979" s="5" t="str">
        <f t="shared" si="77"/>
        <v/>
      </c>
      <c r="N979" s="12" t="str">
        <f t="shared" si="78"/>
        <v/>
      </c>
      <c r="O979" s="36" t="str">
        <f t="shared" si="79"/>
        <v/>
      </c>
    </row>
    <row r="980" spans="1:15" x14ac:dyDescent="0.25">
      <c r="A980" s="34"/>
      <c r="B980" s="33"/>
      <c r="C980" s="34"/>
      <c r="D980" s="34"/>
      <c r="E980" s="34"/>
      <c r="F980" s="34"/>
      <c r="G980" s="35"/>
      <c r="H980" s="34"/>
      <c r="I980" s="5" t="str">
        <f t="shared" si="75"/>
        <v/>
      </c>
      <c r="J980" s="12" t="str">
        <f t="shared" si="76"/>
        <v/>
      </c>
      <c r="K980" s="37" t="str">
        <f>IF(A980="","",Inputs!$B$11-B980)</f>
        <v/>
      </c>
      <c r="L980" s="5" t="str">
        <f>IF(A980="","",IF(I980&lt;=0,"Sold out",IF(K980&gt;=Inputs!$B$18,"Dead",IF(K980&gt;=Inputs!$B$17,"Ageing",IF(K980&gt;=Inputs!$B$16,"Watch","Fresh")))))</f>
        <v/>
      </c>
      <c r="M980" s="5" t="str">
        <f t="shared" si="77"/>
        <v/>
      </c>
      <c r="N980" s="12" t="str">
        <f t="shared" si="78"/>
        <v/>
      </c>
      <c r="O980" s="36" t="str">
        <f t="shared" si="79"/>
        <v/>
      </c>
    </row>
    <row r="981" spans="1:15" x14ac:dyDescent="0.25">
      <c r="A981" s="34"/>
      <c r="B981" s="33"/>
      <c r="C981" s="34"/>
      <c r="D981" s="34"/>
      <c r="E981" s="34"/>
      <c r="F981" s="34"/>
      <c r="G981" s="35"/>
      <c r="H981" s="34"/>
      <c r="I981" s="5" t="str">
        <f t="shared" si="75"/>
        <v/>
      </c>
      <c r="J981" s="12" t="str">
        <f t="shared" si="76"/>
        <v/>
      </c>
      <c r="K981" s="37" t="str">
        <f>IF(A981="","",Inputs!$B$11-B981)</f>
        <v/>
      </c>
      <c r="L981" s="5" t="str">
        <f>IF(A981="","",IF(I981&lt;=0,"Sold out",IF(K981&gt;=Inputs!$B$18,"Dead",IF(K981&gt;=Inputs!$B$17,"Ageing",IF(K981&gt;=Inputs!$B$16,"Watch","Fresh")))))</f>
        <v/>
      </c>
      <c r="M981" s="5" t="str">
        <f t="shared" si="77"/>
        <v/>
      </c>
      <c r="N981" s="12" t="str">
        <f t="shared" si="78"/>
        <v/>
      </c>
      <c r="O981" s="36" t="str">
        <f t="shared" si="79"/>
        <v/>
      </c>
    </row>
    <row r="982" spans="1:15" x14ac:dyDescent="0.25">
      <c r="A982" s="34"/>
      <c r="B982" s="33"/>
      <c r="C982" s="34"/>
      <c r="D982" s="34"/>
      <c r="E982" s="34"/>
      <c r="F982" s="34"/>
      <c r="G982" s="35"/>
      <c r="H982" s="34"/>
      <c r="I982" s="5" t="str">
        <f t="shared" si="75"/>
        <v/>
      </c>
      <c r="J982" s="12" t="str">
        <f t="shared" si="76"/>
        <v/>
      </c>
      <c r="K982" s="37" t="str">
        <f>IF(A982="","",Inputs!$B$11-B982)</f>
        <v/>
      </c>
      <c r="L982" s="5" t="str">
        <f>IF(A982="","",IF(I982&lt;=0,"Sold out",IF(K982&gt;=Inputs!$B$18,"Dead",IF(K982&gt;=Inputs!$B$17,"Ageing",IF(K982&gt;=Inputs!$B$16,"Watch","Fresh")))))</f>
        <v/>
      </c>
      <c r="M982" s="5" t="str">
        <f t="shared" si="77"/>
        <v/>
      </c>
      <c r="N982" s="12" t="str">
        <f t="shared" si="78"/>
        <v/>
      </c>
      <c r="O982" s="36" t="str">
        <f t="shared" si="79"/>
        <v/>
      </c>
    </row>
    <row r="983" spans="1:15" x14ac:dyDescent="0.25">
      <c r="A983" s="34"/>
      <c r="B983" s="33"/>
      <c r="C983" s="34"/>
      <c r="D983" s="34"/>
      <c r="E983" s="34"/>
      <c r="F983" s="34"/>
      <c r="G983" s="35"/>
      <c r="H983" s="34"/>
      <c r="I983" s="5" t="str">
        <f t="shared" si="75"/>
        <v/>
      </c>
      <c r="J983" s="12" t="str">
        <f t="shared" si="76"/>
        <v/>
      </c>
      <c r="K983" s="37" t="str">
        <f>IF(A983="","",Inputs!$B$11-B983)</f>
        <v/>
      </c>
      <c r="L983" s="5" t="str">
        <f>IF(A983="","",IF(I983&lt;=0,"Sold out",IF(K983&gt;=Inputs!$B$18,"Dead",IF(K983&gt;=Inputs!$B$17,"Ageing",IF(K983&gt;=Inputs!$B$16,"Watch","Fresh")))))</f>
        <v/>
      </c>
      <c r="M983" s="5" t="str">
        <f t="shared" si="77"/>
        <v/>
      </c>
      <c r="N983" s="12" t="str">
        <f t="shared" si="78"/>
        <v/>
      </c>
      <c r="O983" s="36" t="str">
        <f t="shared" si="79"/>
        <v/>
      </c>
    </row>
    <row r="984" spans="1:15" x14ac:dyDescent="0.25">
      <c r="A984" s="34"/>
      <c r="B984" s="33"/>
      <c r="C984" s="34"/>
      <c r="D984" s="34"/>
      <c r="E984" s="34"/>
      <c r="F984" s="34"/>
      <c r="G984" s="35"/>
      <c r="H984" s="34"/>
      <c r="I984" s="5" t="str">
        <f t="shared" si="75"/>
        <v/>
      </c>
      <c r="J984" s="12" t="str">
        <f t="shared" si="76"/>
        <v/>
      </c>
      <c r="K984" s="37" t="str">
        <f>IF(A984="","",Inputs!$B$11-B984)</f>
        <v/>
      </c>
      <c r="L984" s="5" t="str">
        <f>IF(A984="","",IF(I984&lt;=0,"Sold out",IF(K984&gt;=Inputs!$B$18,"Dead",IF(K984&gt;=Inputs!$B$17,"Ageing",IF(K984&gt;=Inputs!$B$16,"Watch","Fresh")))))</f>
        <v/>
      </c>
      <c r="M984" s="5" t="str">
        <f t="shared" si="77"/>
        <v/>
      </c>
      <c r="N984" s="12" t="str">
        <f t="shared" si="78"/>
        <v/>
      </c>
      <c r="O984" s="36" t="str">
        <f t="shared" si="79"/>
        <v/>
      </c>
    </row>
    <row r="985" spans="1:15" x14ac:dyDescent="0.25">
      <c r="A985" s="34"/>
      <c r="B985" s="33"/>
      <c r="C985" s="34"/>
      <c r="D985" s="34"/>
      <c r="E985" s="34"/>
      <c r="F985" s="34"/>
      <c r="G985" s="35"/>
      <c r="H985" s="34"/>
      <c r="I985" s="5" t="str">
        <f t="shared" si="75"/>
        <v/>
      </c>
      <c r="J985" s="12" t="str">
        <f t="shared" si="76"/>
        <v/>
      </c>
      <c r="K985" s="37" t="str">
        <f>IF(A985="","",Inputs!$B$11-B985)</f>
        <v/>
      </c>
      <c r="L985" s="5" t="str">
        <f>IF(A985="","",IF(I985&lt;=0,"Sold out",IF(K985&gt;=Inputs!$B$18,"Dead",IF(K985&gt;=Inputs!$B$17,"Ageing",IF(K985&gt;=Inputs!$B$16,"Watch","Fresh")))))</f>
        <v/>
      </c>
      <c r="M985" s="5" t="str">
        <f t="shared" si="77"/>
        <v/>
      </c>
      <c r="N985" s="12" t="str">
        <f t="shared" si="78"/>
        <v/>
      </c>
      <c r="O985" s="36" t="str">
        <f t="shared" si="79"/>
        <v/>
      </c>
    </row>
    <row r="986" spans="1:15" x14ac:dyDescent="0.25">
      <c r="A986" s="34"/>
      <c r="B986" s="33"/>
      <c r="C986" s="34"/>
      <c r="D986" s="34"/>
      <c r="E986" s="34"/>
      <c r="F986" s="34"/>
      <c r="G986" s="35"/>
      <c r="H986" s="34"/>
      <c r="I986" s="5" t="str">
        <f t="shared" si="75"/>
        <v/>
      </c>
      <c r="J986" s="12" t="str">
        <f t="shared" si="76"/>
        <v/>
      </c>
      <c r="K986" s="37" t="str">
        <f>IF(A986="","",Inputs!$B$11-B986)</f>
        <v/>
      </c>
      <c r="L986" s="5" t="str">
        <f>IF(A986="","",IF(I986&lt;=0,"Sold out",IF(K986&gt;=Inputs!$B$18,"Dead",IF(K986&gt;=Inputs!$B$17,"Ageing",IF(K986&gt;=Inputs!$B$16,"Watch","Fresh")))))</f>
        <v/>
      </c>
      <c r="M986" s="5" t="str">
        <f t="shared" si="77"/>
        <v/>
      </c>
      <c r="N986" s="12" t="str">
        <f t="shared" si="78"/>
        <v/>
      </c>
      <c r="O986" s="36" t="str">
        <f t="shared" si="79"/>
        <v/>
      </c>
    </row>
    <row r="987" spans="1:15" x14ac:dyDescent="0.25">
      <c r="A987" s="34"/>
      <c r="B987" s="33"/>
      <c r="C987" s="34"/>
      <c r="D987" s="34"/>
      <c r="E987" s="34"/>
      <c r="F987" s="34"/>
      <c r="G987" s="35"/>
      <c r="H987" s="34"/>
      <c r="I987" s="5" t="str">
        <f t="shared" si="75"/>
        <v/>
      </c>
      <c r="J987" s="12" t="str">
        <f t="shared" si="76"/>
        <v/>
      </c>
      <c r="K987" s="37" t="str">
        <f>IF(A987="","",Inputs!$B$11-B987)</f>
        <v/>
      </c>
      <c r="L987" s="5" t="str">
        <f>IF(A987="","",IF(I987&lt;=0,"Sold out",IF(K987&gt;=Inputs!$B$18,"Dead",IF(K987&gt;=Inputs!$B$17,"Ageing",IF(K987&gt;=Inputs!$B$16,"Watch","Fresh")))))</f>
        <v/>
      </c>
      <c r="M987" s="5" t="str">
        <f t="shared" si="77"/>
        <v/>
      </c>
      <c r="N987" s="12" t="str">
        <f t="shared" si="78"/>
        <v/>
      </c>
      <c r="O987" s="36" t="str">
        <f t="shared" si="79"/>
        <v/>
      </c>
    </row>
    <row r="988" spans="1:15" x14ac:dyDescent="0.25">
      <c r="A988" s="34"/>
      <c r="B988" s="33"/>
      <c r="C988" s="34"/>
      <c r="D988" s="34"/>
      <c r="E988" s="34"/>
      <c r="F988" s="34"/>
      <c r="G988" s="35"/>
      <c r="H988" s="34"/>
      <c r="I988" s="5" t="str">
        <f t="shared" si="75"/>
        <v/>
      </c>
      <c r="J988" s="12" t="str">
        <f t="shared" si="76"/>
        <v/>
      </c>
      <c r="K988" s="37" t="str">
        <f>IF(A988="","",Inputs!$B$11-B988)</f>
        <v/>
      </c>
      <c r="L988" s="5" t="str">
        <f>IF(A988="","",IF(I988&lt;=0,"Sold out",IF(K988&gt;=Inputs!$B$18,"Dead",IF(K988&gt;=Inputs!$B$17,"Ageing",IF(K988&gt;=Inputs!$B$16,"Watch","Fresh")))))</f>
        <v/>
      </c>
      <c r="M988" s="5" t="str">
        <f t="shared" si="77"/>
        <v/>
      </c>
      <c r="N988" s="12" t="str">
        <f t="shared" si="78"/>
        <v/>
      </c>
      <c r="O988" s="36" t="str">
        <f t="shared" si="79"/>
        <v/>
      </c>
    </row>
    <row r="989" spans="1:15" x14ac:dyDescent="0.25">
      <c r="A989" s="34"/>
      <c r="B989" s="33"/>
      <c r="C989" s="34"/>
      <c r="D989" s="34"/>
      <c r="E989" s="34"/>
      <c r="F989" s="34"/>
      <c r="G989" s="35"/>
      <c r="H989" s="34"/>
      <c r="I989" s="5" t="str">
        <f t="shared" si="75"/>
        <v/>
      </c>
      <c r="J989" s="12" t="str">
        <f t="shared" si="76"/>
        <v/>
      </c>
      <c r="K989" s="37" t="str">
        <f>IF(A989="","",Inputs!$B$11-B989)</f>
        <v/>
      </c>
      <c r="L989" s="5" t="str">
        <f>IF(A989="","",IF(I989&lt;=0,"Sold out",IF(K989&gt;=Inputs!$B$18,"Dead",IF(K989&gt;=Inputs!$B$17,"Ageing",IF(K989&gt;=Inputs!$B$16,"Watch","Fresh")))))</f>
        <v/>
      </c>
      <c r="M989" s="5" t="str">
        <f t="shared" si="77"/>
        <v/>
      </c>
      <c r="N989" s="12" t="str">
        <f t="shared" si="78"/>
        <v/>
      </c>
      <c r="O989" s="36" t="str">
        <f t="shared" si="79"/>
        <v/>
      </c>
    </row>
    <row r="990" spans="1:15" x14ac:dyDescent="0.25">
      <c r="A990" s="34"/>
      <c r="B990" s="33"/>
      <c r="C990" s="34"/>
      <c r="D990" s="34"/>
      <c r="E990" s="34"/>
      <c r="F990" s="34"/>
      <c r="G990" s="35"/>
      <c r="H990" s="34"/>
      <c r="I990" s="5" t="str">
        <f t="shared" si="75"/>
        <v/>
      </c>
      <c r="J990" s="12" t="str">
        <f t="shared" si="76"/>
        <v/>
      </c>
      <c r="K990" s="37" t="str">
        <f>IF(A990="","",Inputs!$B$11-B990)</f>
        <v/>
      </c>
      <c r="L990" s="5" t="str">
        <f>IF(A990="","",IF(I990&lt;=0,"Sold out",IF(K990&gt;=Inputs!$B$18,"Dead",IF(K990&gt;=Inputs!$B$17,"Ageing",IF(K990&gt;=Inputs!$B$16,"Watch","Fresh")))))</f>
        <v/>
      </c>
      <c r="M990" s="5" t="str">
        <f t="shared" si="77"/>
        <v/>
      </c>
      <c r="N990" s="12" t="str">
        <f t="shared" si="78"/>
        <v/>
      </c>
      <c r="O990" s="36" t="str">
        <f t="shared" si="79"/>
        <v/>
      </c>
    </row>
    <row r="991" spans="1:15" x14ac:dyDescent="0.25">
      <c r="A991" s="34"/>
      <c r="B991" s="33"/>
      <c r="C991" s="34"/>
      <c r="D991" s="34"/>
      <c r="E991" s="34"/>
      <c r="F991" s="34"/>
      <c r="G991" s="35"/>
      <c r="H991" s="34"/>
      <c r="I991" s="5" t="str">
        <f t="shared" si="75"/>
        <v/>
      </c>
      <c r="J991" s="12" t="str">
        <f t="shared" si="76"/>
        <v/>
      </c>
      <c r="K991" s="37" t="str">
        <f>IF(A991="","",Inputs!$B$11-B991)</f>
        <v/>
      </c>
      <c r="L991" s="5" t="str">
        <f>IF(A991="","",IF(I991&lt;=0,"Sold out",IF(K991&gt;=Inputs!$B$18,"Dead",IF(K991&gt;=Inputs!$B$17,"Ageing",IF(K991&gt;=Inputs!$B$16,"Watch","Fresh")))))</f>
        <v/>
      </c>
      <c r="M991" s="5" t="str">
        <f t="shared" si="77"/>
        <v/>
      </c>
      <c r="N991" s="12" t="str">
        <f t="shared" si="78"/>
        <v/>
      </c>
      <c r="O991" s="36" t="str">
        <f t="shared" si="79"/>
        <v/>
      </c>
    </row>
    <row r="992" spans="1:15" x14ac:dyDescent="0.25">
      <c r="A992" s="34"/>
      <c r="B992" s="33"/>
      <c r="C992" s="34"/>
      <c r="D992" s="34"/>
      <c r="E992" s="34"/>
      <c r="F992" s="34"/>
      <c r="G992" s="35"/>
      <c r="H992" s="34"/>
      <c r="I992" s="5" t="str">
        <f t="shared" si="75"/>
        <v/>
      </c>
      <c r="J992" s="12" t="str">
        <f t="shared" si="76"/>
        <v/>
      </c>
      <c r="K992" s="37" t="str">
        <f>IF(A992="","",Inputs!$B$11-B992)</f>
        <v/>
      </c>
      <c r="L992" s="5" t="str">
        <f>IF(A992="","",IF(I992&lt;=0,"Sold out",IF(K992&gt;=Inputs!$B$18,"Dead",IF(K992&gt;=Inputs!$B$17,"Ageing",IF(K992&gt;=Inputs!$B$16,"Watch","Fresh")))))</f>
        <v/>
      </c>
      <c r="M992" s="5" t="str">
        <f t="shared" si="77"/>
        <v/>
      </c>
      <c r="N992" s="12" t="str">
        <f t="shared" si="78"/>
        <v/>
      </c>
      <c r="O992" s="36" t="str">
        <f t="shared" si="79"/>
        <v/>
      </c>
    </row>
    <row r="993" spans="1:15" x14ac:dyDescent="0.25">
      <c r="A993" s="34"/>
      <c r="B993" s="33"/>
      <c r="C993" s="34"/>
      <c r="D993" s="34"/>
      <c r="E993" s="34"/>
      <c r="F993" s="34"/>
      <c r="G993" s="35"/>
      <c r="H993" s="34"/>
      <c r="I993" s="5" t="str">
        <f t="shared" si="75"/>
        <v/>
      </c>
      <c r="J993" s="12" t="str">
        <f t="shared" si="76"/>
        <v/>
      </c>
      <c r="K993" s="37" t="str">
        <f>IF(A993="","",Inputs!$B$11-B993)</f>
        <v/>
      </c>
      <c r="L993" s="5" t="str">
        <f>IF(A993="","",IF(I993&lt;=0,"Sold out",IF(K993&gt;=Inputs!$B$18,"Dead",IF(K993&gt;=Inputs!$B$17,"Ageing",IF(K993&gt;=Inputs!$B$16,"Watch","Fresh")))))</f>
        <v/>
      </c>
      <c r="M993" s="5" t="str">
        <f t="shared" si="77"/>
        <v/>
      </c>
      <c r="N993" s="12" t="str">
        <f t="shared" si="78"/>
        <v/>
      </c>
      <c r="O993" s="36" t="str">
        <f t="shared" si="79"/>
        <v/>
      </c>
    </row>
    <row r="994" spans="1:15" x14ac:dyDescent="0.25">
      <c r="A994" s="34"/>
      <c r="B994" s="33"/>
      <c r="C994" s="34"/>
      <c r="D994" s="34"/>
      <c r="E994" s="34"/>
      <c r="F994" s="34"/>
      <c r="G994" s="35"/>
      <c r="H994" s="34"/>
      <c r="I994" s="5" t="str">
        <f t="shared" si="75"/>
        <v/>
      </c>
      <c r="J994" s="12" t="str">
        <f t="shared" si="76"/>
        <v/>
      </c>
      <c r="K994" s="37" t="str">
        <f>IF(A994="","",Inputs!$B$11-B994)</f>
        <v/>
      </c>
      <c r="L994" s="5" t="str">
        <f>IF(A994="","",IF(I994&lt;=0,"Sold out",IF(K994&gt;=Inputs!$B$18,"Dead",IF(K994&gt;=Inputs!$B$17,"Ageing",IF(K994&gt;=Inputs!$B$16,"Watch","Fresh")))))</f>
        <v/>
      </c>
      <c r="M994" s="5" t="str">
        <f t="shared" si="77"/>
        <v/>
      </c>
      <c r="N994" s="12" t="str">
        <f t="shared" si="78"/>
        <v/>
      </c>
      <c r="O994" s="36" t="str">
        <f t="shared" si="79"/>
        <v/>
      </c>
    </row>
    <row r="995" spans="1:15" x14ac:dyDescent="0.25">
      <c r="A995" s="34"/>
      <c r="B995" s="33"/>
      <c r="C995" s="34"/>
      <c r="D995" s="34"/>
      <c r="E995" s="34"/>
      <c r="F995" s="34"/>
      <c r="G995" s="35"/>
      <c r="H995" s="34"/>
      <c r="I995" s="5" t="str">
        <f t="shared" si="75"/>
        <v/>
      </c>
      <c r="J995" s="12" t="str">
        <f t="shared" si="76"/>
        <v/>
      </c>
      <c r="K995" s="37" t="str">
        <f>IF(A995="","",Inputs!$B$11-B995)</f>
        <v/>
      </c>
      <c r="L995" s="5" t="str">
        <f>IF(A995="","",IF(I995&lt;=0,"Sold out",IF(K995&gt;=Inputs!$B$18,"Dead",IF(K995&gt;=Inputs!$B$17,"Ageing",IF(K995&gt;=Inputs!$B$16,"Watch","Fresh")))))</f>
        <v/>
      </c>
      <c r="M995" s="5" t="str">
        <f t="shared" si="77"/>
        <v/>
      </c>
      <c r="N995" s="12" t="str">
        <f t="shared" si="78"/>
        <v/>
      </c>
      <c r="O995" s="36" t="str">
        <f t="shared" si="79"/>
        <v/>
      </c>
    </row>
    <row r="996" spans="1:15" x14ac:dyDescent="0.25">
      <c r="A996" s="34"/>
      <c r="B996" s="33"/>
      <c r="C996" s="34"/>
      <c r="D996" s="34"/>
      <c r="E996" s="34"/>
      <c r="F996" s="34"/>
      <c r="G996" s="35"/>
      <c r="H996" s="34"/>
      <c r="I996" s="5" t="str">
        <f t="shared" si="75"/>
        <v/>
      </c>
      <c r="J996" s="12" t="str">
        <f t="shared" si="76"/>
        <v/>
      </c>
      <c r="K996" s="37" t="str">
        <f>IF(A996="","",Inputs!$B$11-B996)</f>
        <v/>
      </c>
      <c r="L996" s="5" t="str">
        <f>IF(A996="","",IF(I996&lt;=0,"Sold out",IF(K996&gt;=Inputs!$B$18,"Dead",IF(K996&gt;=Inputs!$B$17,"Ageing",IF(K996&gt;=Inputs!$B$16,"Watch","Fresh")))))</f>
        <v/>
      </c>
      <c r="M996" s="5" t="str">
        <f t="shared" si="77"/>
        <v/>
      </c>
      <c r="N996" s="12" t="str">
        <f t="shared" si="78"/>
        <v/>
      </c>
      <c r="O996" s="36" t="str">
        <f t="shared" si="79"/>
        <v/>
      </c>
    </row>
    <row r="997" spans="1:15" x14ac:dyDescent="0.25">
      <c r="A997" s="34"/>
      <c r="B997" s="33"/>
      <c r="C997" s="34"/>
      <c r="D997" s="34"/>
      <c r="E997" s="34"/>
      <c r="F997" s="34"/>
      <c r="G997" s="35"/>
      <c r="H997" s="34"/>
      <c r="I997" s="5" t="str">
        <f t="shared" si="75"/>
        <v/>
      </c>
      <c r="J997" s="12" t="str">
        <f t="shared" si="76"/>
        <v/>
      </c>
      <c r="K997" s="37" t="str">
        <f>IF(A997="","",Inputs!$B$11-B997)</f>
        <v/>
      </c>
      <c r="L997" s="5" t="str">
        <f>IF(A997="","",IF(I997&lt;=0,"Sold out",IF(K997&gt;=Inputs!$B$18,"Dead",IF(K997&gt;=Inputs!$B$17,"Ageing",IF(K997&gt;=Inputs!$B$16,"Watch","Fresh")))))</f>
        <v/>
      </c>
      <c r="M997" s="5" t="str">
        <f t="shared" si="77"/>
        <v/>
      </c>
      <c r="N997" s="12" t="str">
        <f t="shared" si="78"/>
        <v/>
      </c>
      <c r="O997" s="36" t="str">
        <f t="shared" si="79"/>
        <v/>
      </c>
    </row>
    <row r="998" spans="1:15" x14ac:dyDescent="0.25">
      <c r="A998" s="34"/>
      <c r="B998" s="33"/>
      <c r="C998" s="34"/>
      <c r="D998" s="34"/>
      <c r="E998" s="34"/>
      <c r="F998" s="34"/>
      <c r="G998" s="35"/>
      <c r="H998" s="34"/>
      <c r="I998" s="5" t="str">
        <f t="shared" si="75"/>
        <v/>
      </c>
      <c r="J998" s="12" t="str">
        <f t="shared" si="76"/>
        <v/>
      </c>
      <c r="K998" s="37" t="str">
        <f>IF(A998="","",Inputs!$B$11-B998)</f>
        <v/>
      </c>
      <c r="L998" s="5" t="str">
        <f>IF(A998="","",IF(I998&lt;=0,"Sold out",IF(K998&gt;=Inputs!$B$18,"Dead",IF(K998&gt;=Inputs!$B$17,"Ageing",IF(K998&gt;=Inputs!$B$16,"Watch","Fresh")))))</f>
        <v/>
      </c>
      <c r="M998" s="5" t="str">
        <f t="shared" si="77"/>
        <v/>
      </c>
      <c r="N998" s="12" t="str">
        <f t="shared" si="78"/>
        <v/>
      </c>
      <c r="O998" s="36" t="str">
        <f t="shared" si="79"/>
        <v/>
      </c>
    </row>
    <row r="999" spans="1:15" x14ac:dyDescent="0.25">
      <c r="A999" s="34"/>
      <c r="B999" s="33"/>
      <c r="C999" s="34"/>
      <c r="D999" s="34"/>
      <c r="E999" s="34"/>
      <c r="F999" s="34"/>
      <c r="G999" s="35"/>
      <c r="H999" s="34"/>
      <c r="I999" s="5" t="str">
        <f t="shared" si="75"/>
        <v/>
      </c>
      <c r="J999" s="12" t="str">
        <f t="shared" si="76"/>
        <v/>
      </c>
      <c r="K999" s="37" t="str">
        <f>IF(A999="","",Inputs!$B$11-B999)</f>
        <v/>
      </c>
      <c r="L999" s="5" t="str">
        <f>IF(A999="","",IF(I999&lt;=0,"Sold out",IF(K999&gt;=Inputs!$B$18,"Dead",IF(K999&gt;=Inputs!$B$17,"Ageing",IF(K999&gt;=Inputs!$B$16,"Watch","Fresh")))))</f>
        <v/>
      </c>
      <c r="M999" s="5" t="str">
        <f t="shared" si="77"/>
        <v/>
      </c>
      <c r="N999" s="12" t="str">
        <f t="shared" si="78"/>
        <v/>
      </c>
      <c r="O999" s="36" t="str">
        <f t="shared" si="79"/>
        <v/>
      </c>
    </row>
    <row r="1000" spans="1:15" x14ac:dyDescent="0.25">
      <c r="A1000" s="34"/>
      <c r="B1000" s="33"/>
      <c r="C1000" s="34"/>
      <c r="D1000" s="34"/>
      <c r="E1000" s="34"/>
      <c r="F1000" s="34"/>
      <c r="G1000" s="35"/>
      <c r="H1000" s="34"/>
      <c r="I1000" s="5" t="str">
        <f t="shared" si="75"/>
        <v/>
      </c>
      <c r="J1000" s="12" t="str">
        <f t="shared" si="76"/>
        <v/>
      </c>
      <c r="K1000" s="37" t="str">
        <f>IF(A1000="","",Inputs!$B$11-B1000)</f>
        <v/>
      </c>
      <c r="L1000" s="5" t="str">
        <f>IF(A1000="","",IF(I1000&lt;=0,"Sold out",IF(K1000&gt;=Inputs!$B$18,"Dead",IF(K1000&gt;=Inputs!$B$17,"Ageing",IF(K1000&gt;=Inputs!$B$16,"Watch","Fresh")))))</f>
        <v/>
      </c>
      <c r="M1000" s="5" t="str">
        <f t="shared" si="77"/>
        <v/>
      </c>
      <c r="N1000" s="12" t="str">
        <f t="shared" si="78"/>
        <v/>
      </c>
      <c r="O1000" s="36" t="str">
        <f t="shared" si="79"/>
        <v/>
      </c>
    </row>
    <row r="1001" spans="1:15" x14ac:dyDescent="0.25">
      <c r="A1001" s="34"/>
      <c r="B1001" s="33"/>
      <c r="C1001" s="34"/>
      <c r="D1001" s="34"/>
      <c r="E1001" s="34"/>
      <c r="F1001" s="34"/>
      <c r="G1001" s="35"/>
      <c r="H1001" s="34"/>
      <c r="I1001" s="5" t="str">
        <f t="shared" si="75"/>
        <v/>
      </c>
      <c r="J1001" s="12" t="str">
        <f t="shared" si="76"/>
        <v/>
      </c>
      <c r="K1001" s="37" t="str">
        <f>IF(A1001="","",Inputs!$B$11-B1001)</f>
        <v/>
      </c>
      <c r="L1001" s="5" t="str">
        <f>IF(A1001="","",IF(I1001&lt;=0,"Sold out",IF(K1001&gt;=Inputs!$B$18,"Dead",IF(K1001&gt;=Inputs!$B$17,"Ageing",IF(K1001&gt;=Inputs!$B$16,"Watch","Fresh")))))</f>
        <v/>
      </c>
      <c r="M1001" s="5" t="str">
        <f t="shared" si="77"/>
        <v/>
      </c>
      <c r="N1001" s="12" t="str">
        <f t="shared" si="78"/>
        <v/>
      </c>
      <c r="O1001" s="36" t="str">
        <f t="shared" si="79"/>
        <v/>
      </c>
    </row>
    <row r="1002" spans="1:15" x14ac:dyDescent="0.25">
      <c r="A1002" s="34"/>
      <c r="B1002" s="33"/>
      <c r="C1002" s="34"/>
      <c r="D1002" s="34"/>
      <c r="E1002" s="34"/>
      <c r="F1002" s="34"/>
      <c r="G1002" s="35"/>
      <c r="H1002" s="34"/>
      <c r="I1002" s="5" t="str">
        <f t="shared" si="75"/>
        <v/>
      </c>
      <c r="J1002" s="12" t="str">
        <f t="shared" si="76"/>
        <v/>
      </c>
      <c r="K1002" s="37" t="str">
        <f>IF(A1002="","",Inputs!$B$11-B1002)</f>
        <v/>
      </c>
      <c r="L1002" s="5" t="str">
        <f>IF(A1002="","",IF(I1002&lt;=0,"Sold out",IF(K1002&gt;=Inputs!$B$18,"Dead",IF(K1002&gt;=Inputs!$B$17,"Ageing",IF(K1002&gt;=Inputs!$B$16,"Watch","Fresh")))))</f>
        <v/>
      </c>
      <c r="M1002" s="5" t="str">
        <f t="shared" si="77"/>
        <v/>
      </c>
      <c r="N1002" s="12" t="str">
        <f t="shared" si="78"/>
        <v/>
      </c>
      <c r="O1002" s="36" t="str">
        <f t="shared" si="79"/>
        <v/>
      </c>
    </row>
    <row r="1003" spans="1:15" x14ac:dyDescent="0.25">
      <c r="A1003" s="34"/>
      <c r="B1003" s="33"/>
      <c r="C1003" s="34"/>
      <c r="D1003" s="34"/>
      <c r="E1003" s="34"/>
      <c r="F1003" s="34"/>
      <c r="G1003" s="35"/>
      <c r="H1003" s="34"/>
      <c r="I1003" s="5" t="str">
        <f t="shared" si="75"/>
        <v/>
      </c>
      <c r="J1003" s="12" t="str">
        <f t="shared" si="76"/>
        <v/>
      </c>
      <c r="K1003" s="37" t="str">
        <f>IF(A1003="","",Inputs!$B$11-B1003)</f>
        <v/>
      </c>
      <c r="L1003" s="5" t="str">
        <f>IF(A1003="","",IF(I1003&lt;=0,"Sold out",IF(K1003&gt;=Inputs!$B$18,"Dead",IF(K1003&gt;=Inputs!$B$17,"Ageing",IF(K1003&gt;=Inputs!$B$16,"Watch","Fresh")))))</f>
        <v/>
      </c>
      <c r="M1003" s="5" t="str">
        <f t="shared" si="77"/>
        <v/>
      </c>
      <c r="N1003" s="12" t="str">
        <f t="shared" si="78"/>
        <v/>
      </c>
      <c r="O1003" s="36" t="str">
        <f t="shared" si="79"/>
        <v/>
      </c>
    </row>
    <row r="1004" spans="1:15" x14ac:dyDescent="0.25">
      <c r="A1004" s="34"/>
      <c r="B1004" s="33"/>
      <c r="C1004" s="34"/>
      <c r="D1004" s="34"/>
      <c r="E1004" s="34"/>
      <c r="F1004" s="34"/>
      <c r="G1004" s="35"/>
      <c r="H1004" s="34"/>
      <c r="I1004" s="5" t="str">
        <f t="shared" si="75"/>
        <v/>
      </c>
      <c r="J1004" s="12" t="str">
        <f t="shared" si="76"/>
        <v/>
      </c>
      <c r="K1004" s="37" t="str">
        <f>IF(A1004="","",Inputs!$B$11-B1004)</f>
        <v/>
      </c>
      <c r="L1004" s="5" t="str">
        <f>IF(A1004="","",IF(I1004&lt;=0,"Sold out",IF(K1004&gt;=Inputs!$B$18,"Dead",IF(K1004&gt;=Inputs!$B$17,"Ageing",IF(K1004&gt;=Inputs!$B$16,"Watch","Fresh")))))</f>
        <v/>
      </c>
      <c r="M1004" s="5" t="str">
        <f t="shared" si="77"/>
        <v/>
      </c>
      <c r="N1004" s="12" t="str">
        <f t="shared" si="78"/>
        <v/>
      </c>
      <c r="O1004" s="36" t="str">
        <f t="shared" si="79"/>
        <v/>
      </c>
    </row>
    <row r="1005" spans="1:15" x14ac:dyDescent="0.25">
      <c r="A1005" s="34"/>
      <c r="B1005" s="33"/>
      <c r="C1005" s="34"/>
      <c r="D1005" s="34"/>
      <c r="E1005" s="34"/>
      <c r="F1005" s="34"/>
      <c r="G1005" s="35"/>
      <c r="H1005" s="34"/>
      <c r="I1005" s="5" t="str">
        <f t="shared" si="75"/>
        <v/>
      </c>
      <c r="J1005" s="12" t="str">
        <f t="shared" si="76"/>
        <v/>
      </c>
      <c r="K1005" s="37" t="str">
        <f>IF(A1005="","",Inputs!$B$11-B1005)</f>
        <v/>
      </c>
      <c r="L1005" s="5" t="str">
        <f>IF(A1005="","",IF(I1005&lt;=0,"Sold out",IF(K1005&gt;=Inputs!$B$18,"Dead",IF(K1005&gt;=Inputs!$B$17,"Ageing",IF(K1005&gt;=Inputs!$B$16,"Watch","Fresh")))))</f>
        <v/>
      </c>
      <c r="M1005" s="5" t="str">
        <f t="shared" si="77"/>
        <v/>
      </c>
      <c r="N1005" s="12" t="str">
        <f t="shared" si="78"/>
        <v/>
      </c>
      <c r="O1005" s="36" t="str">
        <f t="shared" si="79"/>
        <v/>
      </c>
    </row>
  </sheetData>
  <conditionalFormatting sqref="L6:L1005">
    <cfRule type="cellIs" dxfId="2" priority="1" operator="equal">
      <formula>"Dead"</formula>
    </cfRule>
    <cfRule type="cellIs" dxfId="1" priority="2" operator="equal">
      <formula>"Ageing"</formula>
    </cfRule>
    <cfRule type="cellIs" dxfId="0" priority="3" operator="equal">
      <formula>"Watch"</formula>
    </cfRule>
  </conditionalFormatting>
  <dataValidations count="1">
    <dataValidation type="list" allowBlank="1" sqref="D6:D1005" xr:uid="{00000000-0002-0000-0500-000001000000}">
      <formula1>"Surat,Burrabazar,Other"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Inputs!$A$31:$A$34</xm:f>
          </x14:formula1>
          <xm:sqref>C6:C1005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Dashboard</vt:lpstr>
      <vt:lpstr>Inputs</vt:lpstr>
      <vt:lpstr>Monthly OTB</vt:lpstr>
      <vt:lpstr>Sales Log</vt:lpstr>
      <vt:lpstr>Stock 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Soumyanil Kundu</cp:lastModifiedBy>
  <dcterms:created xsi:type="dcterms:W3CDTF">2026-10-24T07:05:08Z</dcterms:created>
  <dcterms:modified xsi:type="dcterms:W3CDTF">2026-10-24T07:37:44Z</dcterms:modified>
</cp:coreProperties>
</file>